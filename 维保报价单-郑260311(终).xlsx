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4328"/>
  </bookViews>
  <sheets>
    <sheet name="Sheet1" sheetId="7" r:id="rId1"/>
  </sheets>
  <definedNames>
    <definedName name="_xlnm._FilterDatabase" localSheetId="0" hidden="1">Sheet1!$A$4:$L$337</definedName>
  </definedNames>
  <calcPr calcId="144525"/>
</workbook>
</file>

<file path=xl/sharedStrings.xml><?xml version="1.0" encoding="utf-8"?>
<sst xmlns="http://schemas.openxmlformats.org/spreadsheetml/2006/main" count="1414" uniqueCount="283">
  <si>
    <t>弱电综合维修报价单</t>
  </si>
  <si>
    <t>中心名称：和县支撑服务中心</t>
  </si>
  <si>
    <t>报价人：</t>
  </si>
  <si>
    <t>汪大为</t>
  </si>
  <si>
    <t>审核人：吴小军</t>
  </si>
  <si>
    <t>报价日期：2026年3月11日</t>
  </si>
  <si>
    <t>1. 蒲建工业园</t>
  </si>
  <si>
    <t>项目名称</t>
  </si>
  <si>
    <t>规格参数</t>
  </si>
  <si>
    <t>单位</t>
  </si>
  <si>
    <t>数量</t>
  </si>
  <si>
    <t>备注</t>
  </si>
  <si>
    <t>设备单价</t>
  </si>
  <si>
    <t>设备合计价格</t>
  </si>
  <si>
    <t>安装单价</t>
  </si>
  <si>
    <t>安装合计价格</t>
  </si>
  <si>
    <t>拆除单价</t>
  </si>
  <si>
    <t>拆除合计价格</t>
  </si>
  <si>
    <t>总价</t>
  </si>
  <si>
    <t>400万红外枪机更换</t>
  </si>
  <si>
    <t>日夜全彩、IP66防水，POE供电兼容款</t>
  </si>
  <si>
    <t>台</t>
  </si>
  <si>
    <t>替换园区出入口故障设备</t>
  </si>
  <si>
    <t>超五类类网线更换</t>
  </si>
  <si>
    <t>国标纯铜千兆，外皮阻燃耐磨，适配工业环境</t>
  </si>
  <si>
    <t>米</t>
  </si>
  <si>
    <t>更换车间通道老化线路，含隐蔽点位布线整理，解决信号衰减问题</t>
  </si>
  <si>
    <t>RVV2×1.0电源线更换</t>
  </si>
  <si>
    <t>铜芯阻燃，足径线芯，适配监控设备集中供电回路</t>
  </si>
  <si>
    <t>修复室外老化短路线路，优化供电回路布局，做好防水绝缘处理</t>
  </si>
  <si>
    <t>配套配件更换（支架/防水盒）</t>
  </si>
  <si>
    <t>室外防锈支架，密封防水盒</t>
  </si>
  <si>
    <t>套</t>
  </si>
  <si>
    <t>替换破损配件，适配户外安装</t>
  </si>
  <si>
    <t>POE交换机维修</t>
  </si>
  <si>
    <t>8口千兆非网管型交换机</t>
  </si>
  <si>
    <t>解决POE供电不稳问题</t>
  </si>
  <si>
    <t>4孔插排</t>
  </si>
  <si>
    <t>公牛GN-407</t>
  </si>
  <si>
    <t>个</t>
  </si>
  <si>
    <t>设备缺失或损坏</t>
  </si>
  <si>
    <t>供电配件更换</t>
  </si>
  <si>
    <t>16A空开，五孔防水插座</t>
  </si>
  <si>
    <t>修复供电回路故障，适配户外使用</t>
  </si>
  <si>
    <t>交换机端口维修</t>
  </si>
  <si>
    <t>8口百兆非POE交换机，故障端口修复</t>
  </si>
  <si>
    <t>保障监控数据稳定传输</t>
  </si>
  <si>
    <t>本区域合计</t>
  </si>
  <si>
    <t>2. 金蒲工业园</t>
  </si>
  <si>
    <t>替换通道故障摄像机</t>
  </si>
  <si>
    <t>4TB监控硬盘更换</t>
  </si>
  <si>
    <t>7200转监控专用盘，支持数据加密</t>
  </si>
  <si>
    <t>块</t>
  </si>
  <si>
    <t>更换损坏的存储介质，保证录像无异常</t>
  </si>
  <si>
    <t>超五类网线更换</t>
  </si>
  <si>
    <t>16口千兆，更换供电模块</t>
  </si>
  <si>
    <t>修复供电模块故障</t>
  </si>
  <si>
    <t>弱电箱及配套更换理线</t>
  </si>
  <si>
    <t>400×300×200mm壁挂不锈钢箱，含插头插座</t>
  </si>
  <si>
    <t>优化走线路径，预留散热间隙，保障箱体整洁度与散热效能。</t>
  </si>
  <si>
    <t>-</t>
  </si>
  <si>
    <t>3. 广纳工业园</t>
  </si>
  <si>
    <t>替换园区围墙高清枪机</t>
  </si>
  <si>
    <t>国标纯铜千兆，外皮耐磨损，支持长距离传输</t>
  </si>
  <si>
    <t>更换通道老化线路，含隐蔽点位布线整理，解决信号衰减问题</t>
  </si>
  <si>
    <t>集中供电设备维修</t>
  </si>
  <si>
    <t>12V/20A供电，更换故障模块</t>
  </si>
  <si>
    <t>集中供电老化故障替换</t>
  </si>
  <si>
    <t>交换机更换</t>
  </si>
  <si>
    <t>8口千兆POE，经济型兼容款</t>
  </si>
  <si>
    <t>配套配件更换</t>
  </si>
  <si>
    <t>室外防锈支架、防水盒、20A空开</t>
  </si>
  <si>
    <t>防水箱锈蚀破损替换</t>
  </si>
  <si>
    <t>光纤熔接（定制）</t>
  </si>
  <si>
    <t>熔接及辅材</t>
  </si>
  <si>
    <t>批</t>
  </si>
  <si>
    <t>4. 东坡工业园</t>
  </si>
  <si>
    <t>日夜全彩、IP66防水，POE供电款</t>
  </si>
  <si>
    <t>更换主干道损坏摄像机</t>
  </si>
  <si>
    <t>24口千兆，修复故障端口</t>
  </si>
  <si>
    <t>修复机房核心交换机故障端口</t>
  </si>
  <si>
    <t>弱电箱维修及线路整理</t>
  </si>
  <si>
    <t>清洁箱体，优化理线器，规整线路</t>
  </si>
  <si>
    <t>10A防水插头、插座</t>
  </si>
  <si>
    <t>设备插板损坏替换</t>
  </si>
  <si>
    <t>5. 港晟隆工业园</t>
  </si>
  <si>
    <t>录像机维修</t>
  </si>
  <si>
    <t>32路硬盘录像机系统修复，故障排查</t>
  </si>
  <si>
    <t>解决录像机死机问题</t>
  </si>
  <si>
    <t>插板更换</t>
  </si>
  <si>
    <t>三孔工业插板，防过载</t>
  </si>
  <si>
    <t>设备插板老化替换</t>
  </si>
  <si>
    <t>光纤收发器更换</t>
  </si>
  <si>
    <t>千兆多模双纤收发器，传输 2KM</t>
  </si>
  <si>
    <t>对</t>
  </si>
  <si>
    <t>收发器信号衰减损坏替换</t>
  </si>
  <si>
    <t>8口千兆更换</t>
  </si>
  <si>
    <t>6. 汇通工业园</t>
  </si>
  <si>
    <t>光纤断点测试 + 熔接</t>
  </si>
  <si>
    <t>多模光纤，LC 接口熔接</t>
  </si>
  <si>
    <t>点</t>
  </si>
  <si>
    <t>修复园区至机房光纤故障</t>
  </si>
  <si>
    <t>收发器信号衰减替换</t>
  </si>
  <si>
    <t>12V 集中供电维修</t>
  </si>
  <si>
    <t>12V30A 电源模块更换，带过载保护</t>
  </si>
  <si>
    <t>优化园区监控集中供电</t>
  </si>
  <si>
    <t>7. 装备制造产业园</t>
  </si>
  <si>
    <t>400万黑光级枪机更换</t>
  </si>
  <si>
    <t>全彩夜视、POE 供电，IP68 防水</t>
  </si>
  <si>
    <t>替换高清监控枪机</t>
  </si>
  <si>
    <t>8口 POE 交换机更换</t>
  </si>
  <si>
    <t>全千兆网管型 POE 交换机，支持 POE 供电管理</t>
  </si>
  <si>
    <t>替换汇聚点老旧损坏 POE 交换机</t>
  </si>
  <si>
    <t>室外防水箱更换</t>
  </si>
  <si>
    <t>不锈钢密封防水箱，带散热孔</t>
  </si>
  <si>
    <t>8. 盛通合运</t>
  </si>
  <si>
    <t>摄像机支架更换</t>
  </si>
  <si>
    <t>室外防锈金属支架，适配枪机</t>
  </si>
  <si>
    <t>支架松动断裂替换</t>
  </si>
  <si>
    <t>非 POE 交换机维修</t>
  </si>
  <si>
    <t>8 口百兆交换机电容更换，故障修复</t>
  </si>
  <si>
    <t>解决交换机频繁死机问题</t>
  </si>
  <si>
    <t>12V10A 电源模块更换，带过载保护</t>
  </si>
  <si>
    <t>9. 孵化园</t>
  </si>
  <si>
    <t>400 万室外枪机更换</t>
  </si>
  <si>
    <t>红外夜视、POE 供电，适配</t>
  </si>
  <si>
    <t>替换故障区摄像机</t>
  </si>
  <si>
    <t>千兆单模单纤收发器，传输 10KM</t>
  </si>
  <si>
    <t>铝合金防锈支架，适配枪机安装</t>
  </si>
  <si>
    <t>支架锈蚀松动替换</t>
  </si>
  <si>
    <t>24+2口 POE 交换机更换</t>
  </si>
  <si>
    <t>替换机房老旧核心 POE 交换机</t>
  </si>
  <si>
    <t>IP 通道分组调试</t>
  </si>
  <si>
    <t>按办公工位分组 IP 通道，画面标签优化</t>
  </si>
  <si>
    <t>项</t>
  </si>
  <si>
    <t>软件，提升监控管理效率</t>
  </si>
  <si>
    <t>机房机柜理线</t>
  </si>
  <si>
    <t>次</t>
  </si>
  <si>
    <t>解决理线器排布不合理，造成线缆拉扯、磨损甚至短路的隐患。</t>
  </si>
  <si>
    <t>4TB 监控硬盘更换</t>
  </si>
  <si>
    <t>监控级垂直盘，5400 转</t>
  </si>
  <si>
    <t>扩容录像机存储容量，满足加工数据留存需求</t>
  </si>
  <si>
    <t>10. 食品产业园</t>
  </si>
  <si>
    <t>食品级不锈钢防水箱，防腐蚀</t>
  </si>
  <si>
    <t>防水箱腐蚀破损替换</t>
  </si>
  <si>
    <t>空开更换</t>
  </si>
  <si>
    <t>20A 漏电保护空开，防潮外壳</t>
  </si>
  <si>
    <t>供电回路防潮保护更换</t>
  </si>
  <si>
    <t>POE 交换机稳压器更换</t>
  </si>
  <si>
    <t>48V 稳压模块，适配 24 口 POE 交换机</t>
  </si>
  <si>
    <t>解决 POE 高负载供电不稳问题</t>
  </si>
  <si>
    <t>11. 智能装备产业园</t>
  </si>
  <si>
    <t>百兆单模单纤收发器，传输 10KM</t>
  </si>
  <si>
    <t>25A 漏电保护空开，工业级阻燃外壳</t>
  </si>
  <si>
    <t>优化设备供电回路保护</t>
  </si>
  <si>
    <t>12. 新兴装备制造产业园</t>
  </si>
  <si>
    <t>单模光纤，SC 接口熔接，支持千兆传输</t>
  </si>
  <si>
    <t>修复车间主干道光纤断裂点</t>
  </si>
  <si>
    <t>13. 新能源智造产业园</t>
  </si>
  <si>
    <t xml:space="preserve">8口千兆交换机，故障端口修复 </t>
  </si>
  <si>
    <t>保障新能源设备监控数据传输稳定性</t>
  </si>
  <si>
    <t>12V 集中供电更换</t>
  </si>
  <si>
    <t>12V30A 集中供电电源，带防雷保护</t>
  </si>
  <si>
    <t>替换老旧供电模块，提升供电稳定性</t>
  </si>
  <si>
    <t>不锈钢防锈支架，适配枪机安装</t>
  </si>
  <si>
    <t>监控级垂直盘，7200 转</t>
  </si>
  <si>
    <t>14. 帝显二期厂房</t>
  </si>
  <si>
    <t>400 万红外枪机更换</t>
  </si>
  <si>
    <t>日夜全彩、POE 供电，IP66 防水</t>
  </si>
  <si>
    <t>替换外围故障枪机</t>
  </si>
  <si>
    <t>铝合金密封防水箱，带散热孔</t>
  </si>
  <si>
    <t>防水箱密封失效替换</t>
  </si>
  <si>
    <t>15. 栋霖厂房 (新地产业园)</t>
  </si>
  <si>
    <t>四孔工业插板，防过载</t>
  </si>
  <si>
    <t>非 POE 交换机更换</t>
  </si>
  <si>
    <t>16口百兆非网管交换机</t>
  </si>
  <si>
    <t>替换老旧交换机</t>
  </si>
  <si>
    <t>12V10A 电源适配器，小型化设计</t>
  </si>
  <si>
    <t>修复小型监控点位供电故障</t>
  </si>
  <si>
    <t>16. 综保区 (跨境电商)</t>
  </si>
  <si>
    <t>保障监控供电及数据传输</t>
  </si>
  <si>
    <t>不锈钢防锈支架，适配高精度枪机</t>
  </si>
  <si>
    <t>支架松动替换</t>
  </si>
  <si>
    <t>17. 保税加工一期</t>
  </si>
  <si>
    <t>16 口百兆非网管交换机</t>
  </si>
  <si>
    <t>替换加工车间老旧交换机</t>
  </si>
  <si>
    <t>不锈钢防水箱，防腐蚀</t>
  </si>
  <si>
    <t>32A 漏电保护空开</t>
  </si>
  <si>
    <t>优化供电回路保护</t>
  </si>
  <si>
    <t>18. 半导体保税研发基地西区</t>
  </si>
  <si>
    <t>单模光纤，LC 接口熔接，低损耗</t>
  </si>
  <si>
    <t>修复研发区光纤传输故障</t>
  </si>
  <si>
    <t>1 转 2LAN 口隔离收发器</t>
  </si>
  <si>
    <t>千兆隔离型收发器，适配数据隔离传输</t>
  </si>
  <si>
    <t>新增研发设备数据分流设备</t>
  </si>
  <si>
    <t>系统整合调试</t>
  </si>
  <si>
    <t>监控系统与研发数据平台联动调试</t>
  </si>
  <si>
    <t>提升研发过程监控追溯能力</t>
  </si>
  <si>
    <t>防静电阻燃插板，适配精密设备</t>
  </si>
  <si>
    <t>研发区精密设备插板替换</t>
  </si>
  <si>
    <t>19. 半导体保税研发基地东区</t>
  </si>
  <si>
    <t xml:space="preserve"> 交换机维修</t>
  </si>
  <si>
    <t>24 口千兆网管型 交换机，故障修复 + 配置优化</t>
  </si>
  <si>
    <t>保障研发区监控数据稳定传输</t>
  </si>
  <si>
    <t>12V20A 电源模块更换，带过载保护</t>
  </si>
  <si>
    <t>修复研发区监控集中供电故障</t>
  </si>
  <si>
    <t>20. 世港通园区</t>
  </si>
  <si>
    <t>塑料密封防水箱，适配枪机安装</t>
  </si>
  <si>
    <t>防水箱破损替换</t>
  </si>
  <si>
    <t>POE 交换机稳压器维修</t>
  </si>
  <si>
    <t>54V 稳压模块更换</t>
  </si>
  <si>
    <t>解决 POE 供电不稳问题</t>
  </si>
  <si>
    <t>21. 综保区重工产业园</t>
  </si>
  <si>
    <t>铠装单模光纤，SC 接口熔接，抗拉伸</t>
  </si>
  <si>
    <t>修复重工车间光纤断裂点</t>
  </si>
  <si>
    <t>24 口千兆工业级交换机，防震动</t>
  </si>
  <si>
    <t>替换老旧核心交换机</t>
  </si>
  <si>
    <t>22. 食品产业园污水处理站</t>
  </si>
  <si>
    <t>替换污水处理站故障防腐蚀枪机</t>
  </si>
  <si>
    <t>食品级不锈钢防水箱，防酸碱腐蚀</t>
  </si>
  <si>
    <t>防腐蚀护套网线，适配潮湿环境</t>
  </si>
  <si>
    <t>更换污水处理站老化线路</t>
  </si>
  <si>
    <t>防腐蚀漏电保护空开，工业级</t>
  </si>
  <si>
    <t>优化供电回路防腐蚀保护</t>
  </si>
  <si>
    <t>修复光纤断裂点</t>
  </si>
  <si>
    <t>23. 汇通厂区</t>
  </si>
  <si>
    <t>五孔防水插板，适配厂区室外环境</t>
  </si>
  <si>
    <t>厂区设备插板损坏替换</t>
  </si>
  <si>
    <t>20A 漏电保护空开</t>
  </si>
  <si>
    <t>优化厂区供电回路保护</t>
  </si>
  <si>
    <t>室外防锈支架，适配枪机安装</t>
  </si>
  <si>
    <t>24. 天润港城一二层商铺</t>
  </si>
  <si>
    <t>四孔家用插板，防过载</t>
  </si>
  <si>
    <t>商铺设备插板损坏替换</t>
  </si>
  <si>
    <t>8 口百兆交换机，故障端口修复</t>
  </si>
  <si>
    <t>修复小区监控室交换机故障</t>
  </si>
  <si>
    <t>25. 汽车总站</t>
  </si>
  <si>
    <t>16口千兆，修复故障端口</t>
  </si>
  <si>
    <t>26. 镇淮花园</t>
  </si>
  <si>
    <t>400 万半球摄像机更换</t>
  </si>
  <si>
    <t>红外夜视、POE 供电，适配小区楼道</t>
  </si>
  <si>
    <t>替换小区楼道故障半球机</t>
  </si>
  <si>
    <t>5口百兆交换机，故障端口修复</t>
  </si>
  <si>
    <t>电梯网桥更换</t>
  </si>
  <si>
    <t>海康威视3WF03C</t>
  </si>
  <si>
    <t>解决信号丢失问题</t>
  </si>
  <si>
    <t>室外不锈钢</t>
  </si>
  <si>
    <t>支架老化断裂替换</t>
  </si>
  <si>
    <t>录像机主板维修</t>
  </si>
  <si>
    <t>解决主板芯片、电路故障引发</t>
  </si>
  <si>
    <t>消除供电模块故障引发的设备供电不稳、附属部件无法工作问题</t>
  </si>
  <si>
    <t>含熔接跳纤，辅材熔接盒等</t>
  </si>
  <si>
    <t>录像机</t>
  </si>
  <si>
    <t>海康威视ds-7832n-r4</t>
  </si>
  <si>
    <t>路线机坏， 画面无储存信息</t>
  </si>
  <si>
    <t>27. 郑蒲家园</t>
  </si>
  <si>
    <t>8口百兆交换机更换</t>
  </si>
  <si>
    <t>16A 漏电保护空开</t>
  </si>
  <si>
    <t>优化小区供电回路保护</t>
  </si>
  <si>
    <t>电梯网桥修复</t>
  </si>
  <si>
    <t>解决电梯运行震动引发的网桥接触不良</t>
  </si>
  <si>
    <t>恢复网桥参数漂移、设备不兼容造成的上下行数据传输失效问题</t>
  </si>
  <si>
    <t>28. 广纳园区</t>
  </si>
  <si>
    <t>5口百兆交换机更换</t>
  </si>
  <si>
    <t>修复园区监控室交换机故障</t>
  </si>
  <si>
    <t>摄像机外围角度调试</t>
  </si>
  <si>
    <t>解决监控盲区</t>
  </si>
  <si>
    <t>解决死角问题，确保目标区域全覆盖无遗漏</t>
  </si>
  <si>
    <t>29. 天润港城 3# 宿舍楼</t>
  </si>
  <si>
    <t>红外夜视、POE 供电，适配宿舍楼走廊</t>
  </si>
  <si>
    <t>替换宿舍楼故障半球机</t>
  </si>
  <si>
    <t>五孔家用插板，防过载</t>
  </si>
  <si>
    <t>宿舍楼监控室插板损坏替换</t>
  </si>
  <si>
    <t>30. 金蒲产业园区</t>
  </si>
  <si>
    <t>31. 平行进口汽车</t>
  </si>
  <si>
    <t>24口千兆非网管型交换机供电模块维修</t>
  </si>
  <si>
    <t>32. 人体博物馆</t>
  </si>
  <si>
    <t>8口百兆非POE交换机，故障更换修复</t>
  </si>
  <si>
    <t>33. 锦园商品房</t>
  </si>
  <si>
    <t>替换楼道楼故障半球机</t>
  </si>
  <si>
    <t>修复监控集中供电故障</t>
  </si>
  <si>
    <t>34. 瑞泰冷库</t>
  </si>
  <si>
    <t>设备丢失损坏更换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</si>
</sst>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#,##0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6"/>
      <color theme="4"/>
      <name val="Microsoft YaHei"/>
      <charset val="134"/>
    </font>
    <font>
      <sz val="10"/>
      <color rgb="FF000000"/>
      <name val="Microsoft YaHei"/>
      <charset val="134"/>
    </font>
    <font>
      <b/>
      <sz val="10"/>
      <color rgb="FF1F2329"/>
      <name val="Microsoft YaHei"/>
      <charset val="134"/>
    </font>
    <font>
      <b/>
      <sz val="11"/>
      <color rgb="FF1F2329"/>
      <name val="Microsoft YaHei"/>
      <charset val="134"/>
    </font>
    <font>
      <b/>
      <sz val="11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b/>
      <sz val="10"/>
      <color theme="1"/>
      <name val="Microsoft YaHei"/>
      <charset val="134"/>
    </font>
    <font>
      <sz val="10"/>
      <color rgb="FF1F2329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1" fillId="2" borderId="0">
      <alignment vertical="center"/>
    </xf>
    <xf numFmtId="0" fontId="12" fillId="3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1" fillId="4" borderId="0">
      <alignment vertical="center"/>
    </xf>
    <xf numFmtId="0" fontId="13" fillId="5" borderId="0">
      <alignment vertical="center"/>
    </xf>
    <xf numFmtId="43" fontId="0" fillId="0" borderId="0">
      <alignment vertical="center"/>
    </xf>
    <xf numFmtId="0" fontId="14" fillId="6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6" fillId="0" borderId="0">
      <alignment vertical="center"/>
    </xf>
    <xf numFmtId="0" fontId="0" fillId="7" borderId="6">
      <alignment vertical="center"/>
    </xf>
    <xf numFmtId="0" fontId="14" fillId="8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7">
      <alignment vertical="center"/>
    </xf>
    <xf numFmtId="0" fontId="22" fillId="0" borderId="7">
      <alignment vertical="center"/>
    </xf>
    <xf numFmtId="0" fontId="14" fillId="9" borderId="0">
      <alignment vertical="center"/>
    </xf>
    <xf numFmtId="0" fontId="17" fillId="0" borderId="8">
      <alignment vertical="center"/>
    </xf>
    <xf numFmtId="0" fontId="14" fillId="10" borderId="0">
      <alignment vertical="center"/>
    </xf>
    <xf numFmtId="0" fontId="23" fillId="11" borderId="9">
      <alignment vertical="center"/>
    </xf>
    <xf numFmtId="0" fontId="24" fillId="11" borderId="5">
      <alignment vertical="center"/>
    </xf>
    <xf numFmtId="0" fontId="25" fillId="12" borderId="10">
      <alignment vertical="center"/>
    </xf>
    <xf numFmtId="0" fontId="11" fillId="13" borderId="0">
      <alignment vertical="center"/>
    </xf>
    <xf numFmtId="0" fontId="14" fillId="14" borderId="0">
      <alignment vertical="center"/>
    </xf>
    <xf numFmtId="0" fontId="26" fillId="0" borderId="11">
      <alignment vertical="center"/>
    </xf>
    <xf numFmtId="0" fontId="27" fillId="0" borderId="12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11" fillId="17" borderId="0">
      <alignment vertical="center"/>
    </xf>
    <xf numFmtId="0" fontId="14" fillId="18" borderId="0">
      <alignment vertical="center"/>
    </xf>
    <xf numFmtId="0" fontId="11" fillId="19" borderId="0">
      <alignment vertical="center"/>
    </xf>
    <xf numFmtId="0" fontId="11" fillId="20" borderId="0">
      <alignment vertical="center"/>
    </xf>
    <xf numFmtId="0" fontId="11" fillId="21" borderId="0">
      <alignment vertical="center"/>
    </xf>
    <xf numFmtId="0" fontId="11" fillId="22" borderId="0">
      <alignment vertical="center"/>
    </xf>
    <xf numFmtId="0" fontId="14" fillId="23" borderId="0">
      <alignment vertical="center"/>
    </xf>
    <xf numFmtId="0" fontId="14" fillId="24" borderId="0">
      <alignment vertical="center"/>
    </xf>
    <xf numFmtId="0" fontId="11" fillId="25" borderId="0">
      <alignment vertical="center"/>
    </xf>
    <xf numFmtId="0" fontId="11" fillId="26" borderId="0">
      <alignment vertical="center"/>
    </xf>
    <xf numFmtId="0" fontId="14" fillId="27" borderId="0">
      <alignment vertical="center"/>
    </xf>
    <xf numFmtId="0" fontId="11" fillId="28" borderId="0">
      <alignment vertical="center"/>
    </xf>
    <xf numFmtId="0" fontId="14" fillId="29" borderId="0">
      <alignment vertical="center"/>
    </xf>
    <xf numFmtId="0" fontId="14" fillId="30" borderId="0">
      <alignment vertical="center"/>
    </xf>
    <xf numFmtId="0" fontId="11" fillId="31" borderId="0">
      <alignment vertical="center"/>
    </xf>
    <xf numFmtId="0" fontId="14" fillId="32" borderId="0">
      <alignment vertical="center"/>
    </xf>
  </cellStyleXfs>
  <cellXfs count="33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center" vertical="center" wrapText="1"/>
    </xf>
    <xf numFmtId="176" fontId="8" fillId="0" borderId="3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177" fontId="10" fillId="0" borderId="3" xfId="0" applyNumberFormat="1" applyFont="1" applyFill="1" applyBorder="1" applyAlignment="1">
      <alignment horizontal="center" vertical="center" wrapText="1"/>
    </xf>
    <xf numFmtId="177" fontId="8" fillId="0" borderId="3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177" fontId="7" fillId="0" borderId="3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61595</xdr:colOff>
      <xdr:row>0</xdr:row>
      <xdr:rowOff>69215</xdr:rowOff>
    </xdr:from>
    <xdr:to>
      <xdr:col>1</xdr:col>
      <xdr:colOff>2009140</xdr:colOff>
      <xdr:row>1</xdr:row>
      <xdr:rowOff>154940</xdr:rowOff>
    </xdr:to>
    <xdr:pic>
      <xdr:nvPicPr>
        <xdr:cNvPr id="2" name="ID_1AF5A3C142D14563BB5E7148BF1BF47D" descr="中国移动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595" y="69215"/>
          <a:ext cx="3216275" cy="530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7"/>
  <sheetViews>
    <sheetView tabSelected="1" zoomScale="85" zoomScaleNormal="85" topLeftCell="A296" workbookViewId="0">
      <selection activeCell="F324" sqref="F324"/>
    </sheetView>
  </sheetViews>
  <sheetFormatPr defaultColWidth="21.6296296296296" defaultRowHeight="35" customHeight="1"/>
  <cols>
    <col min="1" max="1" width="18.5" style="2" customWidth="1"/>
    <col min="2" max="2" width="31.1203703703704" style="2" customWidth="1"/>
    <col min="3" max="4" width="9.00925925925926" style="2" customWidth="1"/>
    <col min="5" max="5" width="35.712962962963" style="2" customWidth="1"/>
    <col min="6" max="6" width="8.81481481481481" style="3" customWidth="1"/>
    <col min="7" max="7" width="12.8148148148148" style="3" customWidth="1"/>
    <col min="8" max="8" width="8.81481481481481" style="3" customWidth="1"/>
    <col min="9" max="9" width="12.8148148148148" style="3" customWidth="1"/>
    <col min="10" max="10" width="8.81481481481481" style="3" customWidth="1"/>
    <col min="11" max="11" width="12.8148148148148" style="3" customWidth="1"/>
    <col min="12" max="12" width="9.18518518518519" style="3" customWidth="1"/>
    <col min="13" max="16380" width="21.6296296296296" style="1" customWidth="1"/>
    <col min="16381" max="16384" width="21.6296296296296" style="1"/>
  </cols>
  <sheetData>
    <row r="1" customHeight="1" spans="1:1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Height="1" spans="1:12">
      <c r="A2" s="5" t="s">
        <v>1</v>
      </c>
      <c r="B2" s="5"/>
      <c r="C2" s="6" t="s">
        <v>2</v>
      </c>
      <c r="D2" s="5" t="s">
        <v>3</v>
      </c>
      <c r="E2" s="5"/>
      <c r="F2" s="7" t="s">
        <v>4</v>
      </c>
      <c r="G2" s="8"/>
      <c r="H2" s="8"/>
      <c r="I2" s="8"/>
      <c r="J2" s="5" t="s">
        <v>5</v>
      </c>
      <c r="K2" s="5"/>
      <c r="L2" s="5"/>
    </row>
    <row r="3" customHeight="1" spans="1:12">
      <c r="A3" s="9" t="s">
        <v>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26"/>
    </row>
    <row r="4" customHeight="1" spans="1:12">
      <c r="A4" s="11" t="s">
        <v>7</v>
      </c>
      <c r="B4" s="11" t="s">
        <v>8</v>
      </c>
      <c r="C4" s="11" t="s">
        <v>9</v>
      </c>
      <c r="D4" s="11" t="s">
        <v>10</v>
      </c>
      <c r="E4" s="11" t="s">
        <v>11</v>
      </c>
      <c r="F4" s="12" t="s">
        <v>12</v>
      </c>
      <c r="G4" s="12" t="s">
        <v>13</v>
      </c>
      <c r="H4" s="12" t="s">
        <v>14</v>
      </c>
      <c r="I4" s="12" t="s">
        <v>15</v>
      </c>
      <c r="J4" s="12" t="s">
        <v>16</v>
      </c>
      <c r="K4" s="12" t="s">
        <v>17</v>
      </c>
      <c r="L4" s="12" t="s">
        <v>18</v>
      </c>
    </row>
    <row r="5" customHeight="1" spans="1:12">
      <c r="A5" s="13" t="s">
        <v>19</v>
      </c>
      <c r="B5" s="13" t="s">
        <v>20</v>
      </c>
      <c r="C5" s="13" t="s">
        <v>21</v>
      </c>
      <c r="D5" s="13">
        <v>3</v>
      </c>
      <c r="E5" s="14" t="s">
        <v>22</v>
      </c>
      <c r="F5" s="15">
        <v>227</v>
      </c>
      <c r="G5" s="15">
        <f>F5*D5</f>
        <v>681</v>
      </c>
      <c r="H5" s="15">
        <v>146</v>
      </c>
      <c r="I5" s="15">
        <f>H5*D5</f>
        <v>438</v>
      </c>
      <c r="J5" s="15">
        <f>H5*0.4</f>
        <v>58.4</v>
      </c>
      <c r="K5" s="15">
        <f>J5*D5</f>
        <v>175.2</v>
      </c>
      <c r="L5" s="15">
        <f t="shared" ref="L5:L12" si="0">F5*D5+H5*D5+J5*D5</f>
        <v>1294.2</v>
      </c>
    </row>
    <row r="6" customHeight="1" spans="1:12">
      <c r="A6" s="13" t="s">
        <v>23</v>
      </c>
      <c r="B6" s="13" t="s">
        <v>24</v>
      </c>
      <c r="C6" s="13" t="s">
        <v>25</v>
      </c>
      <c r="D6" s="13">
        <v>300</v>
      </c>
      <c r="E6" s="14" t="s">
        <v>26</v>
      </c>
      <c r="F6" s="15">
        <v>2.2</v>
      </c>
      <c r="G6" s="15">
        <f t="shared" ref="G6:G69" si="1">F6*D6</f>
        <v>660</v>
      </c>
      <c r="H6" s="16">
        <v>1.7</v>
      </c>
      <c r="I6" s="15">
        <f t="shared" ref="I6:I69" si="2">H6*D6</f>
        <v>510</v>
      </c>
      <c r="J6" s="15">
        <f t="shared" ref="J6:J12" si="3">H6*0.4</f>
        <v>0.68</v>
      </c>
      <c r="K6" s="15">
        <f t="shared" ref="K6:K69" si="4">J6*D6</f>
        <v>204</v>
      </c>
      <c r="L6" s="15">
        <f t="shared" si="0"/>
        <v>1374</v>
      </c>
    </row>
    <row r="7" customHeight="1" spans="1:12">
      <c r="A7" s="13" t="s">
        <v>27</v>
      </c>
      <c r="B7" s="13" t="s">
        <v>28</v>
      </c>
      <c r="C7" s="13" t="s">
        <v>25</v>
      </c>
      <c r="D7" s="13">
        <v>200</v>
      </c>
      <c r="E7" s="14" t="s">
        <v>29</v>
      </c>
      <c r="F7" s="15">
        <v>3.3</v>
      </c>
      <c r="G7" s="15">
        <f t="shared" si="1"/>
        <v>660</v>
      </c>
      <c r="H7" s="16">
        <v>1.7</v>
      </c>
      <c r="I7" s="15">
        <f t="shared" si="2"/>
        <v>340</v>
      </c>
      <c r="J7" s="15">
        <f t="shared" si="3"/>
        <v>0.68</v>
      </c>
      <c r="K7" s="15">
        <f t="shared" si="4"/>
        <v>136</v>
      </c>
      <c r="L7" s="15">
        <f t="shared" si="0"/>
        <v>1136</v>
      </c>
    </row>
    <row r="8" customHeight="1" spans="1:12">
      <c r="A8" s="13" t="s">
        <v>30</v>
      </c>
      <c r="B8" s="13" t="s">
        <v>31</v>
      </c>
      <c r="C8" s="13" t="s">
        <v>32</v>
      </c>
      <c r="D8" s="13">
        <v>5</v>
      </c>
      <c r="E8" s="14" t="s">
        <v>33</v>
      </c>
      <c r="F8" s="15">
        <v>27</v>
      </c>
      <c r="G8" s="15">
        <f t="shared" si="1"/>
        <v>135</v>
      </c>
      <c r="H8" s="15">
        <v>56</v>
      </c>
      <c r="I8" s="15">
        <f t="shared" si="2"/>
        <v>280</v>
      </c>
      <c r="J8" s="15">
        <f t="shared" si="3"/>
        <v>22.4</v>
      </c>
      <c r="K8" s="15">
        <f t="shared" si="4"/>
        <v>112</v>
      </c>
      <c r="L8" s="15">
        <f t="shared" si="0"/>
        <v>527</v>
      </c>
    </row>
    <row r="9" customHeight="1" spans="1:12">
      <c r="A9" s="13" t="s">
        <v>34</v>
      </c>
      <c r="B9" s="13" t="s">
        <v>35</v>
      </c>
      <c r="C9" s="13" t="s">
        <v>21</v>
      </c>
      <c r="D9" s="13">
        <v>3</v>
      </c>
      <c r="E9" s="14" t="s">
        <v>36</v>
      </c>
      <c r="F9" s="15">
        <v>357</v>
      </c>
      <c r="G9" s="15">
        <f t="shared" si="1"/>
        <v>1071</v>
      </c>
      <c r="H9" s="15">
        <v>39</v>
      </c>
      <c r="I9" s="15">
        <f t="shared" si="2"/>
        <v>117</v>
      </c>
      <c r="J9" s="15">
        <f t="shared" si="3"/>
        <v>15.6</v>
      </c>
      <c r="K9" s="15">
        <f t="shared" si="4"/>
        <v>46.8</v>
      </c>
      <c r="L9" s="15">
        <f t="shared" si="0"/>
        <v>1234.8</v>
      </c>
    </row>
    <row r="10" customHeight="1" spans="1:12">
      <c r="A10" s="13" t="s">
        <v>37</v>
      </c>
      <c r="B10" s="13" t="s">
        <v>38</v>
      </c>
      <c r="C10" s="13" t="s">
        <v>39</v>
      </c>
      <c r="D10" s="13">
        <v>5</v>
      </c>
      <c r="E10" s="14" t="s">
        <v>40</v>
      </c>
      <c r="F10" s="15">
        <v>20</v>
      </c>
      <c r="G10" s="15">
        <f t="shared" si="1"/>
        <v>100</v>
      </c>
      <c r="H10" s="15">
        <v>11</v>
      </c>
      <c r="I10" s="15">
        <f t="shared" si="2"/>
        <v>55</v>
      </c>
      <c r="J10" s="15">
        <v>0</v>
      </c>
      <c r="K10" s="15">
        <f t="shared" si="4"/>
        <v>0</v>
      </c>
      <c r="L10" s="15">
        <f t="shared" si="0"/>
        <v>155</v>
      </c>
    </row>
    <row r="11" s="1" customFormat="1" customHeight="1" spans="1:12">
      <c r="A11" s="13" t="s">
        <v>41</v>
      </c>
      <c r="B11" s="13" t="s">
        <v>42</v>
      </c>
      <c r="C11" s="13" t="s">
        <v>32</v>
      </c>
      <c r="D11" s="13">
        <v>3</v>
      </c>
      <c r="E11" s="14" t="s">
        <v>43</v>
      </c>
      <c r="F11" s="15">
        <v>30</v>
      </c>
      <c r="G11" s="15">
        <f t="shared" si="1"/>
        <v>90</v>
      </c>
      <c r="H11" s="15">
        <v>17</v>
      </c>
      <c r="I11" s="15">
        <f t="shared" si="2"/>
        <v>51</v>
      </c>
      <c r="J11" s="15">
        <f t="shared" si="3"/>
        <v>6.8</v>
      </c>
      <c r="K11" s="15">
        <f t="shared" si="4"/>
        <v>20.4</v>
      </c>
      <c r="L11" s="15">
        <f t="shared" si="0"/>
        <v>161.4</v>
      </c>
    </row>
    <row r="12" customHeight="1" spans="1:12">
      <c r="A12" s="13" t="s">
        <v>44</v>
      </c>
      <c r="B12" s="13" t="s">
        <v>45</v>
      </c>
      <c r="C12" s="13" t="s">
        <v>21</v>
      </c>
      <c r="D12" s="13">
        <v>1</v>
      </c>
      <c r="E12" s="14" t="s">
        <v>46</v>
      </c>
      <c r="F12" s="15">
        <v>45</v>
      </c>
      <c r="G12" s="15">
        <f t="shared" si="1"/>
        <v>45</v>
      </c>
      <c r="H12" s="15">
        <v>11</v>
      </c>
      <c r="I12" s="15">
        <f t="shared" si="2"/>
        <v>11</v>
      </c>
      <c r="J12" s="15">
        <f t="shared" si="3"/>
        <v>4.4</v>
      </c>
      <c r="K12" s="15">
        <f t="shared" si="4"/>
        <v>4.4</v>
      </c>
      <c r="L12" s="15">
        <f t="shared" si="0"/>
        <v>60.4</v>
      </c>
    </row>
    <row r="13" customHeight="1" spans="1:12">
      <c r="A13" s="17" t="s">
        <v>47</v>
      </c>
      <c r="B13" s="17"/>
      <c r="C13" s="17"/>
      <c r="D13" s="17"/>
      <c r="E13" s="14"/>
      <c r="F13" s="15"/>
      <c r="G13" s="15">
        <f>SUM(G5:G12)</f>
        <v>3442</v>
      </c>
      <c r="H13" s="15"/>
      <c r="I13" s="15">
        <f>SUM(I5:I12)</f>
        <v>1802</v>
      </c>
      <c r="J13" s="15"/>
      <c r="K13" s="15">
        <f>SUM(K5:K12)</f>
        <v>698.8</v>
      </c>
      <c r="L13" s="15">
        <f>SUM(L5:L12)</f>
        <v>5942.8</v>
      </c>
    </row>
    <row r="14" customHeight="1" spans="1:12">
      <c r="A14" s="9" t="s">
        <v>48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7"/>
    </row>
    <row r="15" customHeight="1" spans="1:12">
      <c r="A15" s="11" t="s">
        <v>7</v>
      </c>
      <c r="B15" s="11" t="s">
        <v>8</v>
      </c>
      <c r="C15" s="11" t="s">
        <v>9</v>
      </c>
      <c r="D15" s="11" t="s">
        <v>10</v>
      </c>
      <c r="E15" s="11" t="s">
        <v>11</v>
      </c>
      <c r="F15" s="12" t="s">
        <v>12</v>
      </c>
      <c r="G15" s="12" t="s">
        <v>13</v>
      </c>
      <c r="H15" s="12" t="s">
        <v>14</v>
      </c>
      <c r="I15" s="12" t="s">
        <v>15</v>
      </c>
      <c r="J15" s="12" t="s">
        <v>16</v>
      </c>
      <c r="K15" s="12" t="s">
        <v>17</v>
      </c>
      <c r="L15" s="12" t="s">
        <v>18</v>
      </c>
    </row>
    <row r="16" customHeight="1" spans="1:12">
      <c r="A16" s="13" t="s">
        <v>19</v>
      </c>
      <c r="B16" s="13" t="s">
        <v>20</v>
      </c>
      <c r="C16" s="13" t="s">
        <v>21</v>
      </c>
      <c r="D16" s="13">
        <v>3</v>
      </c>
      <c r="E16" s="19" t="s">
        <v>49</v>
      </c>
      <c r="F16" s="15">
        <v>227</v>
      </c>
      <c r="G16" s="15">
        <f t="shared" si="1"/>
        <v>681</v>
      </c>
      <c r="H16" s="15">
        <v>146</v>
      </c>
      <c r="I16" s="15">
        <f t="shared" si="2"/>
        <v>438</v>
      </c>
      <c r="J16" s="15">
        <f t="shared" ref="J16:J21" si="5">H16*0.4</f>
        <v>58.4</v>
      </c>
      <c r="K16" s="15">
        <f t="shared" si="4"/>
        <v>175.2</v>
      </c>
      <c r="L16" s="15">
        <f t="shared" ref="L16:L21" si="6">F16*D16+H16*D16+J16*D16</f>
        <v>1294.2</v>
      </c>
    </row>
    <row r="17" customHeight="1" spans="1:12">
      <c r="A17" s="13" t="s">
        <v>50</v>
      </c>
      <c r="B17" s="13" t="s">
        <v>51</v>
      </c>
      <c r="C17" s="13" t="s">
        <v>52</v>
      </c>
      <c r="D17" s="13">
        <v>1</v>
      </c>
      <c r="E17" s="19" t="s">
        <v>53</v>
      </c>
      <c r="F17" s="15">
        <v>1632</v>
      </c>
      <c r="G17" s="15">
        <f t="shared" si="1"/>
        <v>1632</v>
      </c>
      <c r="H17" s="15">
        <v>11</v>
      </c>
      <c r="I17" s="15">
        <f t="shared" si="2"/>
        <v>11</v>
      </c>
      <c r="J17" s="15">
        <f t="shared" si="5"/>
        <v>4.4</v>
      </c>
      <c r="K17" s="15">
        <f t="shared" si="4"/>
        <v>4.4</v>
      </c>
      <c r="L17" s="15">
        <f t="shared" si="6"/>
        <v>1647.4</v>
      </c>
    </row>
    <row r="18" customHeight="1" spans="1:12">
      <c r="A18" s="13" t="s">
        <v>54</v>
      </c>
      <c r="B18" s="13" t="s">
        <v>24</v>
      </c>
      <c r="C18" s="13" t="s">
        <v>25</v>
      </c>
      <c r="D18" s="13">
        <v>300</v>
      </c>
      <c r="E18" s="19" t="s">
        <v>26</v>
      </c>
      <c r="F18" s="15">
        <v>2.2</v>
      </c>
      <c r="G18" s="15">
        <f t="shared" si="1"/>
        <v>660</v>
      </c>
      <c r="H18" s="16">
        <v>1.7</v>
      </c>
      <c r="I18" s="15">
        <f t="shared" si="2"/>
        <v>510</v>
      </c>
      <c r="J18" s="15">
        <f t="shared" si="5"/>
        <v>0.68</v>
      </c>
      <c r="K18" s="15">
        <f t="shared" si="4"/>
        <v>204</v>
      </c>
      <c r="L18" s="15">
        <f t="shared" si="6"/>
        <v>1374</v>
      </c>
    </row>
    <row r="19" customHeight="1" spans="1:12">
      <c r="A19" s="13" t="s">
        <v>27</v>
      </c>
      <c r="B19" s="13" t="s">
        <v>28</v>
      </c>
      <c r="C19" s="13" t="s">
        <v>25</v>
      </c>
      <c r="D19" s="13">
        <v>200</v>
      </c>
      <c r="E19" s="19" t="s">
        <v>29</v>
      </c>
      <c r="F19" s="15">
        <v>3.3</v>
      </c>
      <c r="G19" s="15">
        <f t="shared" si="1"/>
        <v>660</v>
      </c>
      <c r="H19" s="16">
        <v>1.7</v>
      </c>
      <c r="I19" s="15">
        <f t="shared" si="2"/>
        <v>340</v>
      </c>
      <c r="J19" s="15">
        <f t="shared" si="5"/>
        <v>0.68</v>
      </c>
      <c r="K19" s="15">
        <f t="shared" si="4"/>
        <v>136</v>
      </c>
      <c r="L19" s="15">
        <f t="shared" si="6"/>
        <v>1136</v>
      </c>
    </row>
    <row r="20" customHeight="1" spans="1:12">
      <c r="A20" s="13" t="s">
        <v>34</v>
      </c>
      <c r="B20" s="13" t="s">
        <v>55</v>
      </c>
      <c r="C20" s="13" t="s">
        <v>21</v>
      </c>
      <c r="D20" s="13">
        <v>1</v>
      </c>
      <c r="E20" s="19" t="s">
        <v>56</v>
      </c>
      <c r="F20" s="15">
        <v>357</v>
      </c>
      <c r="G20" s="15">
        <f t="shared" si="1"/>
        <v>357</v>
      </c>
      <c r="H20" s="15">
        <v>39</v>
      </c>
      <c r="I20" s="15">
        <f t="shared" si="2"/>
        <v>39</v>
      </c>
      <c r="J20" s="15">
        <f t="shared" si="5"/>
        <v>15.6</v>
      </c>
      <c r="K20" s="15">
        <f t="shared" si="4"/>
        <v>15.6</v>
      </c>
      <c r="L20" s="15">
        <f t="shared" si="6"/>
        <v>411.6</v>
      </c>
    </row>
    <row r="21" customHeight="1" spans="1:12">
      <c r="A21" s="13" t="s">
        <v>57</v>
      </c>
      <c r="B21" s="13" t="s">
        <v>58</v>
      </c>
      <c r="C21" s="13" t="s">
        <v>32</v>
      </c>
      <c r="D21" s="13">
        <v>1</v>
      </c>
      <c r="E21" s="19" t="s">
        <v>59</v>
      </c>
      <c r="F21" s="15">
        <v>75</v>
      </c>
      <c r="G21" s="15">
        <f t="shared" si="1"/>
        <v>75</v>
      </c>
      <c r="H21" s="15">
        <v>39</v>
      </c>
      <c r="I21" s="15">
        <f t="shared" si="2"/>
        <v>39</v>
      </c>
      <c r="J21" s="15">
        <f t="shared" si="5"/>
        <v>15.6</v>
      </c>
      <c r="K21" s="15">
        <f t="shared" si="4"/>
        <v>15.6</v>
      </c>
      <c r="L21" s="15">
        <f t="shared" si="6"/>
        <v>129.6</v>
      </c>
    </row>
    <row r="22" customHeight="1" spans="1:12">
      <c r="A22" s="17" t="s">
        <v>47</v>
      </c>
      <c r="B22" s="17"/>
      <c r="C22" s="17"/>
      <c r="D22" s="17"/>
      <c r="E22" s="19" t="s">
        <v>60</v>
      </c>
      <c r="F22" s="15"/>
      <c r="G22" s="15">
        <f>SUM(G16:G21)</f>
        <v>4065</v>
      </c>
      <c r="H22" s="15"/>
      <c r="I22" s="15">
        <v>1501</v>
      </c>
      <c r="J22" s="15"/>
      <c r="K22" s="15">
        <f>SUM(K16:K21)</f>
        <v>550.8</v>
      </c>
      <c r="L22" s="15">
        <f>SUM(L16:L21)</f>
        <v>5992.8</v>
      </c>
    </row>
    <row r="23" customHeight="1" spans="1:12">
      <c r="A23" s="9" t="s">
        <v>61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7"/>
    </row>
    <row r="24" customHeight="1" spans="1:12">
      <c r="A24" s="11" t="s">
        <v>7</v>
      </c>
      <c r="B24" s="11" t="s">
        <v>8</v>
      </c>
      <c r="C24" s="11" t="s">
        <v>9</v>
      </c>
      <c r="D24" s="11" t="s">
        <v>10</v>
      </c>
      <c r="E24" s="11" t="s">
        <v>11</v>
      </c>
      <c r="F24" s="12" t="s">
        <v>12</v>
      </c>
      <c r="G24" s="12" t="s">
        <v>13</v>
      </c>
      <c r="H24" s="12" t="s">
        <v>14</v>
      </c>
      <c r="I24" s="12" t="s">
        <v>15</v>
      </c>
      <c r="J24" s="12" t="s">
        <v>16</v>
      </c>
      <c r="K24" s="12" t="s">
        <v>17</v>
      </c>
      <c r="L24" s="12" t="s">
        <v>18</v>
      </c>
    </row>
    <row r="25" customHeight="1" spans="1:12">
      <c r="A25" s="13" t="s">
        <v>19</v>
      </c>
      <c r="B25" s="13" t="s">
        <v>20</v>
      </c>
      <c r="C25" s="13" t="s">
        <v>21</v>
      </c>
      <c r="D25" s="20">
        <v>3</v>
      </c>
      <c r="E25" s="19" t="s">
        <v>62</v>
      </c>
      <c r="F25" s="15">
        <v>227</v>
      </c>
      <c r="G25" s="15">
        <f t="shared" si="1"/>
        <v>681</v>
      </c>
      <c r="H25" s="15">
        <v>146</v>
      </c>
      <c r="I25" s="15">
        <f t="shared" si="2"/>
        <v>438</v>
      </c>
      <c r="J25" s="15">
        <f t="shared" ref="J25:J31" si="7">H25*0.4</f>
        <v>58.4</v>
      </c>
      <c r="K25" s="15">
        <f t="shared" si="4"/>
        <v>175.2</v>
      </c>
      <c r="L25" s="15">
        <f t="shared" ref="L25:L31" si="8">F25*D25+H25*D25+J25*D25</f>
        <v>1294.2</v>
      </c>
    </row>
    <row r="26" customHeight="1" spans="1:12">
      <c r="A26" s="13" t="s">
        <v>54</v>
      </c>
      <c r="B26" s="13" t="s">
        <v>63</v>
      </c>
      <c r="C26" s="13" t="s">
        <v>25</v>
      </c>
      <c r="D26" s="20">
        <v>300</v>
      </c>
      <c r="E26" s="19" t="s">
        <v>64</v>
      </c>
      <c r="F26" s="15">
        <v>2.2</v>
      </c>
      <c r="G26" s="15">
        <f t="shared" si="1"/>
        <v>660</v>
      </c>
      <c r="H26" s="16">
        <v>1.7</v>
      </c>
      <c r="I26" s="15">
        <f t="shared" si="2"/>
        <v>510</v>
      </c>
      <c r="J26" s="15">
        <f t="shared" si="7"/>
        <v>0.68</v>
      </c>
      <c r="K26" s="15">
        <f t="shared" si="4"/>
        <v>204</v>
      </c>
      <c r="L26" s="15">
        <f t="shared" si="8"/>
        <v>1374</v>
      </c>
    </row>
    <row r="27" customHeight="1" spans="1:12">
      <c r="A27" s="13" t="s">
        <v>27</v>
      </c>
      <c r="B27" s="13" t="s">
        <v>28</v>
      </c>
      <c r="C27" s="13" t="s">
        <v>25</v>
      </c>
      <c r="D27" s="13">
        <v>150</v>
      </c>
      <c r="E27" s="19" t="s">
        <v>29</v>
      </c>
      <c r="F27" s="15">
        <v>3.3</v>
      </c>
      <c r="G27" s="15">
        <f t="shared" si="1"/>
        <v>495</v>
      </c>
      <c r="H27" s="16">
        <v>1.7</v>
      </c>
      <c r="I27" s="15">
        <f t="shared" si="2"/>
        <v>255</v>
      </c>
      <c r="J27" s="15">
        <f t="shared" si="7"/>
        <v>0.68</v>
      </c>
      <c r="K27" s="15">
        <f t="shared" si="4"/>
        <v>102</v>
      </c>
      <c r="L27" s="15">
        <f t="shared" si="8"/>
        <v>852</v>
      </c>
    </row>
    <row r="28" customHeight="1" spans="1:12">
      <c r="A28" s="13" t="s">
        <v>65</v>
      </c>
      <c r="B28" s="13" t="s">
        <v>66</v>
      </c>
      <c r="C28" s="13" t="s">
        <v>21</v>
      </c>
      <c r="D28" s="20">
        <v>5</v>
      </c>
      <c r="E28" s="19" t="s">
        <v>67</v>
      </c>
      <c r="F28" s="15">
        <v>128</v>
      </c>
      <c r="G28" s="15">
        <f t="shared" si="1"/>
        <v>640</v>
      </c>
      <c r="H28" s="15">
        <v>11</v>
      </c>
      <c r="I28" s="15">
        <f t="shared" si="2"/>
        <v>55</v>
      </c>
      <c r="J28" s="15">
        <f t="shared" si="7"/>
        <v>4.4</v>
      </c>
      <c r="K28" s="15">
        <f t="shared" si="4"/>
        <v>22</v>
      </c>
      <c r="L28" s="15">
        <f t="shared" si="8"/>
        <v>717</v>
      </c>
    </row>
    <row r="29" customHeight="1" spans="1:12">
      <c r="A29" s="13" t="s">
        <v>68</v>
      </c>
      <c r="B29" s="13" t="s">
        <v>69</v>
      </c>
      <c r="C29" s="13" t="s">
        <v>21</v>
      </c>
      <c r="D29" s="20">
        <v>1</v>
      </c>
      <c r="E29" s="14" t="s">
        <v>36</v>
      </c>
      <c r="F29" s="15">
        <v>357</v>
      </c>
      <c r="G29" s="15">
        <f t="shared" si="1"/>
        <v>357</v>
      </c>
      <c r="H29" s="15">
        <v>28</v>
      </c>
      <c r="I29" s="15">
        <f t="shared" si="2"/>
        <v>28</v>
      </c>
      <c r="J29" s="15">
        <f t="shared" si="7"/>
        <v>11.2</v>
      </c>
      <c r="K29" s="15">
        <f t="shared" si="4"/>
        <v>11.2</v>
      </c>
      <c r="L29" s="15">
        <f t="shared" si="8"/>
        <v>396.2</v>
      </c>
    </row>
    <row r="30" customHeight="1" spans="1:12">
      <c r="A30" s="13" t="s">
        <v>70</v>
      </c>
      <c r="B30" s="13" t="s">
        <v>71</v>
      </c>
      <c r="C30" s="13" t="s">
        <v>32</v>
      </c>
      <c r="D30" s="13">
        <v>8</v>
      </c>
      <c r="E30" s="19" t="s">
        <v>72</v>
      </c>
      <c r="F30" s="15">
        <v>123</v>
      </c>
      <c r="G30" s="15">
        <f t="shared" si="1"/>
        <v>984</v>
      </c>
      <c r="H30" s="15">
        <v>56</v>
      </c>
      <c r="I30" s="15">
        <f t="shared" si="2"/>
        <v>448</v>
      </c>
      <c r="J30" s="15">
        <f t="shared" si="7"/>
        <v>22.4</v>
      </c>
      <c r="K30" s="15">
        <f t="shared" si="4"/>
        <v>179.2</v>
      </c>
      <c r="L30" s="15">
        <f t="shared" si="8"/>
        <v>1611.2</v>
      </c>
    </row>
    <row r="31" customHeight="1" spans="1:12">
      <c r="A31" s="13" t="s">
        <v>73</v>
      </c>
      <c r="B31" s="13" t="s">
        <v>74</v>
      </c>
      <c r="C31" s="13" t="s">
        <v>75</v>
      </c>
      <c r="D31" s="13">
        <v>1</v>
      </c>
      <c r="E31" s="19" t="s">
        <v>60</v>
      </c>
      <c r="F31" s="15">
        <v>0</v>
      </c>
      <c r="G31" s="15">
        <f t="shared" si="1"/>
        <v>0</v>
      </c>
      <c r="H31" s="15">
        <v>674</v>
      </c>
      <c r="I31" s="15">
        <f t="shared" si="2"/>
        <v>674</v>
      </c>
      <c r="J31" s="15">
        <v>0</v>
      </c>
      <c r="K31" s="15">
        <f t="shared" si="4"/>
        <v>0</v>
      </c>
      <c r="L31" s="15">
        <f t="shared" si="8"/>
        <v>674</v>
      </c>
    </row>
    <row r="32" customHeight="1" spans="1:12">
      <c r="A32" s="17" t="s">
        <v>47</v>
      </c>
      <c r="B32" s="17"/>
      <c r="C32" s="17"/>
      <c r="D32" s="17"/>
      <c r="E32" s="21"/>
      <c r="F32" s="15"/>
      <c r="G32" s="15">
        <f>SUM(G25:G31)</f>
        <v>3817</v>
      </c>
      <c r="H32" s="15"/>
      <c r="I32" s="15">
        <f>SUM(I25:I31)</f>
        <v>2408</v>
      </c>
      <c r="J32" s="15"/>
      <c r="K32" s="15">
        <f>SUM(K25:K31)</f>
        <v>693.6</v>
      </c>
      <c r="L32" s="15">
        <f>SUM(L25:L31)</f>
        <v>6918.6</v>
      </c>
    </row>
    <row r="33" customHeight="1" spans="1:12">
      <c r="A33" s="22" t="s">
        <v>76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8"/>
    </row>
    <row r="34" customHeight="1" spans="1:12">
      <c r="A34" s="11" t="s">
        <v>7</v>
      </c>
      <c r="B34" s="11" t="s">
        <v>8</v>
      </c>
      <c r="C34" s="11" t="s">
        <v>9</v>
      </c>
      <c r="D34" s="11" t="s">
        <v>10</v>
      </c>
      <c r="E34" s="24" t="s">
        <v>11</v>
      </c>
      <c r="F34" s="12" t="s">
        <v>12</v>
      </c>
      <c r="G34" s="12" t="s">
        <v>13</v>
      </c>
      <c r="H34" s="12" t="s">
        <v>14</v>
      </c>
      <c r="I34" s="12" t="s">
        <v>15</v>
      </c>
      <c r="J34" s="12" t="s">
        <v>16</v>
      </c>
      <c r="K34" s="12" t="s">
        <v>17</v>
      </c>
      <c r="L34" s="12" t="s">
        <v>18</v>
      </c>
    </row>
    <row r="35" customHeight="1" spans="1:12">
      <c r="A35" s="13" t="s">
        <v>19</v>
      </c>
      <c r="B35" s="13" t="s">
        <v>77</v>
      </c>
      <c r="C35" s="13" t="s">
        <v>21</v>
      </c>
      <c r="D35" s="20">
        <v>2</v>
      </c>
      <c r="E35" s="19" t="s">
        <v>78</v>
      </c>
      <c r="F35" s="15">
        <v>227</v>
      </c>
      <c r="G35" s="15">
        <f t="shared" si="1"/>
        <v>454</v>
      </c>
      <c r="H35" s="15">
        <v>146</v>
      </c>
      <c r="I35" s="15">
        <f t="shared" si="2"/>
        <v>292</v>
      </c>
      <c r="J35" s="15">
        <f t="shared" ref="J35:J40" si="9">H35*0.4</f>
        <v>58.4</v>
      </c>
      <c r="K35" s="15">
        <f t="shared" si="4"/>
        <v>116.8</v>
      </c>
      <c r="L35" s="15">
        <f t="shared" ref="L35:L40" si="10">F35*D35+H35*D35+J35*D35</f>
        <v>862.8</v>
      </c>
    </row>
    <row r="36" customHeight="1" spans="1:12">
      <c r="A36" s="13" t="s">
        <v>27</v>
      </c>
      <c r="B36" s="13" t="s">
        <v>28</v>
      </c>
      <c r="C36" s="13" t="s">
        <v>25</v>
      </c>
      <c r="D36" s="13">
        <v>150</v>
      </c>
      <c r="E36" s="19" t="s">
        <v>29</v>
      </c>
      <c r="F36" s="15">
        <v>3.3</v>
      </c>
      <c r="G36" s="15">
        <f t="shared" si="1"/>
        <v>495</v>
      </c>
      <c r="H36" s="16">
        <v>1.7</v>
      </c>
      <c r="I36" s="15">
        <f t="shared" si="2"/>
        <v>255</v>
      </c>
      <c r="J36" s="15">
        <f t="shared" si="9"/>
        <v>0.68</v>
      </c>
      <c r="K36" s="15">
        <f t="shared" si="4"/>
        <v>102</v>
      </c>
      <c r="L36" s="15">
        <f t="shared" si="10"/>
        <v>852</v>
      </c>
    </row>
    <row r="37" customHeight="1" spans="1:12">
      <c r="A37" s="13" t="s">
        <v>54</v>
      </c>
      <c r="B37" s="13" t="s">
        <v>63</v>
      </c>
      <c r="C37" s="13" t="s">
        <v>25</v>
      </c>
      <c r="D37" s="20">
        <v>150</v>
      </c>
      <c r="E37" s="19" t="s">
        <v>64</v>
      </c>
      <c r="F37" s="15">
        <v>2.2</v>
      </c>
      <c r="G37" s="15">
        <f t="shared" si="1"/>
        <v>330</v>
      </c>
      <c r="H37" s="16">
        <v>1.7</v>
      </c>
      <c r="I37" s="15">
        <f t="shared" si="2"/>
        <v>255</v>
      </c>
      <c r="J37" s="15">
        <f t="shared" si="9"/>
        <v>0.68</v>
      </c>
      <c r="K37" s="15">
        <f t="shared" si="4"/>
        <v>102</v>
      </c>
      <c r="L37" s="15">
        <f t="shared" si="10"/>
        <v>687</v>
      </c>
    </row>
    <row r="38" customHeight="1" spans="1:12">
      <c r="A38" s="13" t="s">
        <v>34</v>
      </c>
      <c r="B38" s="13" t="s">
        <v>79</v>
      </c>
      <c r="C38" s="13" t="s">
        <v>21</v>
      </c>
      <c r="D38" s="20">
        <v>1</v>
      </c>
      <c r="E38" s="19" t="s">
        <v>80</v>
      </c>
      <c r="F38" s="15">
        <v>1078</v>
      </c>
      <c r="G38" s="15">
        <f t="shared" si="1"/>
        <v>1078</v>
      </c>
      <c r="H38" s="15">
        <v>39</v>
      </c>
      <c r="I38" s="15">
        <f t="shared" si="2"/>
        <v>39</v>
      </c>
      <c r="J38" s="15">
        <f t="shared" si="9"/>
        <v>15.6</v>
      </c>
      <c r="K38" s="15">
        <f t="shared" si="4"/>
        <v>15.6</v>
      </c>
      <c r="L38" s="15">
        <f t="shared" si="10"/>
        <v>1132.6</v>
      </c>
    </row>
    <row r="39" customHeight="1" spans="1:12">
      <c r="A39" s="13" t="s">
        <v>81</v>
      </c>
      <c r="B39" s="13" t="s">
        <v>82</v>
      </c>
      <c r="C39" s="13" t="s">
        <v>21</v>
      </c>
      <c r="D39" s="20">
        <v>1</v>
      </c>
      <c r="E39" s="19" t="s">
        <v>59</v>
      </c>
      <c r="F39" s="15">
        <v>0</v>
      </c>
      <c r="G39" s="15">
        <f t="shared" si="1"/>
        <v>0</v>
      </c>
      <c r="H39" s="15">
        <v>112</v>
      </c>
      <c r="I39" s="15">
        <f t="shared" si="2"/>
        <v>112</v>
      </c>
      <c r="J39" s="15">
        <f t="shared" si="9"/>
        <v>44.8</v>
      </c>
      <c r="K39" s="15">
        <f t="shared" si="4"/>
        <v>44.8</v>
      </c>
      <c r="L39" s="15">
        <f t="shared" si="10"/>
        <v>156.8</v>
      </c>
    </row>
    <row r="40" customHeight="1" spans="1:12">
      <c r="A40" s="13" t="s">
        <v>41</v>
      </c>
      <c r="B40" s="13" t="s">
        <v>83</v>
      </c>
      <c r="C40" s="13" t="s">
        <v>32</v>
      </c>
      <c r="D40" s="20">
        <v>3</v>
      </c>
      <c r="E40" s="19" t="s">
        <v>84</v>
      </c>
      <c r="F40" s="15">
        <v>31</v>
      </c>
      <c r="G40" s="15">
        <f t="shared" si="1"/>
        <v>93</v>
      </c>
      <c r="H40" s="15">
        <v>11</v>
      </c>
      <c r="I40" s="15">
        <f t="shared" si="2"/>
        <v>33</v>
      </c>
      <c r="J40" s="15">
        <f t="shared" si="9"/>
        <v>4.4</v>
      </c>
      <c r="K40" s="15">
        <f t="shared" si="4"/>
        <v>13.2</v>
      </c>
      <c r="L40" s="15">
        <f t="shared" si="10"/>
        <v>139.2</v>
      </c>
    </row>
    <row r="41" customHeight="1" spans="1:12">
      <c r="A41" s="17" t="s">
        <v>47</v>
      </c>
      <c r="B41" s="17"/>
      <c r="C41" s="17"/>
      <c r="D41" s="17"/>
      <c r="E41" s="19"/>
      <c r="F41" s="15"/>
      <c r="G41" s="15">
        <f>SUM(G35:G40)</f>
        <v>2450</v>
      </c>
      <c r="H41" s="15"/>
      <c r="I41" s="15">
        <f>SUM(I35:I40)</f>
        <v>986</v>
      </c>
      <c r="J41" s="15"/>
      <c r="K41" s="15">
        <f>SUM(K35:K40)</f>
        <v>394.4</v>
      </c>
      <c r="L41" s="15">
        <f>SUM(L35:L40)</f>
        <v>3830.4</v>
      </c>
    </row>
    <row r="42" customHeight="1" spans="1:12">
      <c r="A42" s="9" t="s">
        <v>85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7"/>
    </row>
    <row r="43" customHeight="1" spans="1:12">
      <c r="A43" s="11" t="s">
        <v>7</v>
      </c>
      <c r="B43" s="11" t="s">
        <v>8</v>
      </c>
      <c r="C43" s="11" t="s">
        <v>9</v>
      </c>
      <c r="D43" s="11" t="s">
        <v>10</v>
      </c>
      <c r="E43" s="11" t="s">
        <v>11</v>
      </c>
      <c r="F43" s="12" t="s">
        <v>12</v>
      </c>
      <c r="G43" s="12" t="s">
        <v>13</v>
      </c>
      <c r="H43" s="12" t="s">
        <v>14</v>
      </c>
      <c r="I43" s="12" t="s">
        <v>15</v>
      </c>
      <c r="J43" s="12" t="s">
        <v>16</v>
      </c>
      <c r="K43" s="12" t="s">
        <v>17</v>
      </c>
      <c r="L43" s="12" t="s">
        <v>18</v>
      </c>
    </row>
    <row r="44" customHeight="1" spans="1:12">
      <c r="A44" s="25" t="s">
        <v>86</v>
      </c>
      <c r="B44" s="25" t="s">
        <v>87</v>
      </c>
      <c r="C44" s="25" t="s">
        <v>21</v>
      </c>
      <c r="D44" s="25">
        <v>1</v>
      </c>
      <c r="E44" s="19" t="s">
        <v>88</v>
      </c>
      <c r="F44" s="15">
        <v>2157</v>
      </c>
      <c r="G44" s="15">
        <f t="shared" si="1"/>
        <v>2157</v>
      </c>
      <c r="H44" s="15">
        <v>39</v>
      </c>
      <c r="I44" s="15">
        <f t="shared" si="2"/>
        <v>39</v>
      </c>
      <c r="J44" s="15">
        <f t="shared" ref="J44:J50" si="11">H44*0.4</f>
        <v>15.6</v>
      </c>
      <c r="K44" s="15">
        <f t="shared" si="4"/>
        <v>15.6</v>
      </c>
      <c r="L44" s="15">
        <f t="shared" ref="L44:L50" si="12">F44*D44+H44*D44+J44*D44</f>
        <v>2211.6</v>
      </c>
    </row>
    <row r="45" customHeight="1" spans="1:12">
      <c r="A45" s="13" t="s">
        <v>50</v>
      </c>
      <c r="B45" s="13" t="s">
        <v>51</v>
      </c>
      <c r="C45" s="13" t="s">
        <v>52</v>
      </c>
      <c r="D45" s="13">
        <v>4</v>
      </c>
      <c r="E45" s="19" t="s">
        <v>53</v>
      </c>
      <c r="F45" s="15">
        <v>1631</v>
      </c>
      <c r="G45" s="15">
        <f t="shared" si="1"/>
        <v>6524</v>
      </c>
      <c r="H45" s="15">
        <v>11</v>
      </c>
      <c r="I45" s="15">
        <f t="shared" si="2"/>
        <v>44</v>
      </c>
      <c r="J45" s="15">
        <f t="shared" si="11"/>
        <v>4.4</v>
      </c>
      <c r="K45" s="15">
        <f t="shared" si="4"/>
        <v>17.6</v>
      </c>
      <c r="L45" s="15">
        <f t="shared" si="12"/>
        <v>6585.6</v>
      </c>
    </row>
    <row r="46" customHeight="1" spans="1:12">
      <c r="A46" s="13" t="s">
        <v>27</v>
      </c>
      <c r="B46" s="13" t="s">
        <v>28</v>
      </c>
      <c r="C46" s="13" t="s">
        <v>25</v>
      </c>
      <c r="D46" s="13">
        <v>100</v>
      </c>
      <c r="E46" s="19" t="s">
        <v>29</v>
      </c>
      <c r="F46" s="15">
        <v>3.3</v>
      </c>
      <c r="G46" s="15">
        <f t="shared" si="1"/>
        <v>330</v>
      </c>
      <c r="H46" s="16">
        <v>1.7</v>
      </c>
      <c r="I46" s="15">
        <f t="shared" si="2"/>
        <v>170</v>
      </c>
      <c r="J46" s="15">
        <f t="shared" si="11"/>
        <v>0.68</v>
      </c>
      <c r="K46" s="15">
        <f t="shared" si="4"/>
        <v>68</v>
      </c>
      <c r="L46" s="15">
        <f t="shared" si="12"/>
        <v>568</v>
      </c>
    </row>
    <row r="47" customHeight="1" spans="1:12">
      <c r="A47" s="13" t="s">
        <v>54</v>
      </c>
      <c r="B47" s="13" t="s">
        <v>63</v>
      </c>
      <c r="C47" s="13" t="s">
        <v>25</v>
      </c>
      <c r="D47" s="20">
        <v>130</v>
      </c>
      <c r="E47" s="19" t="s">
        <v>64</v>
      </c>
      <c r="F47" s="15">
        <v>2.2</v>
      </c>
      <c r="G47" s="15">
        <f t="shared" si="1"/>
        <v>286</v>
      </c>
      <c r="H47" s="16">
        <v>1.7</v>
      </c>
      <c r="I47" s="15">
        <f t="shared" si="2"/>
        <v>221</v>
      </c>
      <c r="J47" s="15">
        <f t="shared" si="11"/>
        <v>0.68</v>
      </c>
      <c r="K47" s="15">
        <f t="shared" si="4"/>
        <v>88.4</v>
      </c>
      <c r="L47" s="15">
        <f t="shared" si="12"/>
        <v>595.4</v>
      </c>
    </row>
    <row r="48" customHeight="1" spans="1:12">
      <c r="A48" s="25" t="s">
        <v>89</v>
      </c>
      <c r="B48" s="25" t="s">
        <v>90</v>
      </c>
      <c r="C48" s="25" t="s">
        <v>39</v>
      </c>
      <c r="D48" s="25">
        <v>6</v>
      </c>
      <c r="E48" s="19" t="s">
        <v>91</v>
      </c>
      <c r="F48" s="15">
        <v>31</v>
      </c>
      <c r="G48" s="15">
        <f t="shared" si="1"/>
        <v>186</v>
      </c>
      <c r="H48" s="15">
        <v>11</v>
      </c>
      <c r="I48" s="15">
        <f t="shared" si="2"/>
        <v>66</v>
      </c>
      <c r="J48" s="15">
        <f t="shared" si="11"/>
        <v>4.4</v>
      </c>
      <c r="K48" s="15">
        <f t="shared" si="4"/>
        <v>26.4</v>
      </c>
      <c r="L48" s="15">
        <f t="shared" si="12"/>
        <v>278.4</v>
      </c>
    </row>
    <row r="49" customHeight="1" spans="1:12">
      <c r="A49" s="25" t="s">
        <v>92</v>
      </c>
      <c r="B49" s="25" t="s">
        <v>93</v>
      </c>
      <c r="C49" s="25" t="s">
        <v>94</v>
      </c>
      <c r="D49" s="25">
        <v>2</v>
      </c>
      <c r="E49" s="19" t="s">
        <v>95</v>
      </c>
      <c r="F49" s="15">
        <v>136</v>
      </c>
      <c r="G49" s="15">
        <f t="shared" si="1"/>
        <v>272</v>
      </c>
      <c r="H49" s="15">
        <v>17</v>
      </c>
      <c r="I49" s="15">
        <f t="shared" si="2"/>
        <v>34</v>
      </c>
      <c r="J49" s="15">
        <f t="shared" si="11"/>
        <v>6.8</v>
      </c>
      <c r="K49" s="15">
        <f t="shared" si="4"/>
        <v>13.6</v>
      </c>
      <c r="L49" s="15">
        <f t="shared" si="12"/>
        <v>319.6</v>
      </c>
    </row>
    <row r="50" customHeight="1" spans="1:12">
      <c r="A50" s="13" t="s">
        <v>34</v>
      </c>
      <c r="B50" s="13" t="s">
        <v>96</v>
      </c>
      <c r="C50" s="13" t="s">
        <v>21</v>
      </c>
      <c r="D50" s="20">
        <v>1</v>
      </c>
      <c r="E50" s="14" t="s">
        <v>36</v>
      </c>
      <c r="F50" s="15">
        <v>357</v>
      </c>
      <c r="G50" s="15">
        <f t="shared" si="1"/>
        <v>357</v>
      </c>
      <c r="H50" s="15">
        <v>39</v>
      </c>
      <c r="I50" s="15">
        <f t="shared" si="2"/>
        <v>39</v>
      </c>
      <c r="J50" s="15">
        <f t="shared" si="11"/>
        <v>15.6</v>
      </c>
      <c r="K50" s="15">
        <f t="shared" si="4"/>
        <v>15.6</v>
      </c>
      <c r="L50" s="15">
        <f t="shared" si="12"/>
        <v>411.6</v>
      </c>
    </row>
    <row r="51" customHeight="1" spans="1:12">
      <c r="A51" s="17" t="s">
        <v>47</v>
      </c>
      <c r="B51" s="17"/>
      <c r="C51" s="17"/>
      <c r="D51" s="17"/>
      <c r="E51" s="19"/>
      <c r="F51" s="15"/>
      <c r="G51" s="15">
        <f>SUM(G44:G50)</f>
        <v>10112</v>
      </c>
      <c r="H51" s="15"/>
      <c r="I51" s="15">
        <f>SUM(I44:I50)</f>
        <v>613</v>
      </c>
      <c r="J51" s="15"/>
      <c r="K51" s="15">
        <f>SUM(K44:K50)</f>
        <v>245.2</v>
      </c>
      <c r="L51" s="15">
        <f>SUM(L44:L50)</f>
        <v>10970.2</v>
      </c>
    </row>
    <row r="52" customHeight="1" spans="1:12">
      <c r="A52" s="9" t="s">
        <v>97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27"/>
    </row>
    <row r="53" customHeight="1" spans="1:12">
      <c r="A53" s="11" t="s">
        <v>7</v>
      </c>
      <c r="B53" s="11" t="s">
        <v>8</v>
      </c>
      <c r="C53" s="11" t="s">
        <v>9</v>
      </c>
      <c r="D53" s="11" t="s">
        <v>10</v>
      </c>
      <c r="E53" s="11" t="s">
        <v>11</v>
      </c>
      <c r="F53" s="12" t="s">
        <v>12</v>
      </c>
      <c r="G53" s="12" t="s">
        <v>13</v>
      </c>
      <c r="H53" s="12" t="s">
        <v>14</v>
      </c>
      <c r="I53" s="12" t="s">
        <v>15</v>
      </c>
      <c r="J53" s="12" t="s">
        <v>16</v>
      </c>
      <c r="K53" s="12" t="s">
        <v>17</v>
      </c>
      <c r="L53" s="12" t="s">
        <v>18</v>
      </c>
    </row>
    <row r="54" customHeight="1" spans="1:12">
      <c r="A54" s="25" t="s">
        <v>98</v>
      </c>
      <c r="B54" s="25" t="s">
        <v>99</v>
      </c>
      <c r="C54" s="25" t="s">
        <v>100</v>
      </c>
      <c r="D54" s="25">
        <v>2</v>
      </c>
      <c r="E54" s="19" t="s">
        <v>101</v>
      </c>
      <c r="F54" s="15">
        <v>0</v>
      </c>
      <c r="G54" s="15">
        <f t="shared" si="1"/>
        <v>0</v>
      </c>
      <c r="H54" s="15">
        <v>787</v>
      </c>
      <c r="I54" s="15">
        <f t="shared" si="2"/>
        <v>1574</v>
      </c>
      <c r="J54" s="15">
        <f>H54*0.4</f>
        <v>314.8</v>
      </c>
      <c r="K54" s="15">
        <f t="shared" si="4"/>
        <v>629.6</v>
      </c>
      <c r="L54" s="15">
        <f>F54*D54+H54*D54+J54*D54</f>
        <v>2203.6</v>
      </c>
    </row>
    <row r="55" customHeight="1" spans="1:12">
      <c r="A55" s="25" t="s">
        <v>92</v>
      </c>
      <c r="B55" s="25" t="s">
        <v>93</v>
      </c>
      <c r="C55" s="25" t="s">
        <v>94</v>
      </c>
      <c r="D55" s="25">
        <v>2</v>
      </c>
      <c r="E55" s="19" t="s">
        <v>102</v>
      </c>
      <c r="F55" s="15">
        <v>136</v>
      </c>
      <c r="G55" s="15">
        <f t="shared" si="1"/>
        <v>272</v>
      </c>
      <c r="H55" s="15">
        <v>17</v>
      </c>
      <c r="I55" s="15">
        <f t="shared" si="2"/>
        <v>34</v>
      </c>
      <c r="J55" s="15">
        <f>H55*0.4</f>
        <v>6.8</v>
      </c>
      <c r="K55" s="15">
        <f t="shared" si="4"/>
        <v>13.6</v>
      </c>
      <c r="L55" s="15">
        <f>F55*D55+H55*D55+J55*D55</f>
        <v>319.6</v>
      </c>
    </row>
    <row r="56" customHeight="1" spans="1:12">
      <c r="A56" s="25" t="s">
        <v>103</v>
      </c>
      <c r="B56" s="25" t="s">
        <v>104</v>
      </c>
      <c r="C56" s="25" t="s">
        <v>32</v>
      </c>
      <c r="D56" s="25">
        <v>2</v>
      </c>
      <c r="E56" s="19" t="s">
        <v>105</v>
      </c>
      <c r="F56" s="15">
        <v>168</v>
      </c>
      <c r="G56" s="15">
        <f t="shared" si="1"/>
        <v>336</v>
      </c>
      <c r="H56" s="15">
        <v>112</v>
      </c>
      <c r="I56" s="15">
        <f t="shared" si="2"/>
        <v>224</v>
      </c>
      <c r="J56" s="15">
        <f>H56*0.4</f>
        <v>44.8</v>
      </c>
      <c r="K56" s="15">
        <f t="shared" si="4"/>
        <v>89.6</v>
      </c>
      <c r="L56" s="15">
        <f>F56*D56+H56*D56+J56*D56</f>
        <v>649.6</v>
      </c>
    </row>
    <row r="57" customHeight="1" spans="1:12">
      <c r="A57" s="13" t="s">
        <v>27</v>
      </c>
      <c r="B57" s="13" t="s">
        <v>28</v>
      </c>
      <c r="C57" s="13" t="s">
        <v>25</v>
      </c>
      <c r="D57" s="13">
        <v>130</v>
      </c>
      <c r="E57" s="19" t="s">
        <v>29</v>
      </c>
      <c r="F57" s="15">
        <v>3.3</v>
      </c>
      <c r="G57" s="15">
        <f t="shared" si="1"/>
        <v>429</v>
      </c>
      <c r="H57" s="16">
        <v>1.7</v>
      </c>
      <c r="I57" s="15">
        <f t="shared" si="2"/>
        <v>221</v>
      </c>
      <c r="J57" s="15">
        <f>H57*0.4</f>
        <v>0.68</v>
      </c>
      <c r="K57" s="15">
        <f t="shared" si="4"/>
        <v>88.4</v>
      </c>
      <c r="L57" s="15">
        <f>F57*D57+H57*D57+J57*D57</f>
        <v>738.4</v>
      </c>
    </row>
    <row r="58" customHeight="1" spans="1:12">
      <c r="A58" s="13" t="s">
        <v>54</v>
      </c>
      <c r="B58" s="13" t="s">
        <v>63</v>
      </c>
      <c r="C58" s="13" t="s">
        <v>25</v>
      </c>
      <c r="D58" s="20">
        <v>90</v>
      </c>
      <c r="E58" s="19" t="s">
        <v>64</v>
      </c>
      <c r="F58" s="15">
        <v>2.2</v>
      </c>
      <c r="G58" s="15">
        <f t="shared" si="1"/>
        <v>198</v>
      </c>
      <c r="H58" s="16">
        <v>1.7</v>
      </c>
      <c r="I58" s="15">
        <f t="shared" si="2"/>
        <v>153</v>
      </c>
      <c r="J58" s="15">
        <f>H58*0.4</f>
        <v>0.68</v>
      </c>
      <c r="K58" s="15">
        <f t="shared" si="4"/>
        <v>61.2</v>
      </c>
      <c r="L58" s="15">
        <f>F58*D58+H58*D58+J58*D58</f>
        <v>412.2</v>
      </c>
    </row>
    <row r="59" customHeight="1" spans="1:12">
      <c r="A59" s="17" t="s">
        <v>47</v>
      </c>
      <c r="B59" s="17"/>
      <c r="C59" s="17"/>
      <c r="D59" s="17"/>
      <c r="E59" s="19"/>
      <c r="F59" s="15"/>
      <c r="G59" s="15">
        <f>SUM(G54:G58)</f>
        <v>1235</v>
      </c>
      <c r="H59" s="15"/>
      <c r="I59" s="15">
        <f>SUM(I54:I58)</f>
        <v>2206</v>
      </c>
      <c r="J59" s="15"/>
      <c r="K59" s="15">
        <f>SUM(K54:K58)</f>
        <v>882.4</v>
      </c>
      <c r="L59" s="15">
        <f>SUM(L54:L58)</f>
        <v>4323.4</v>
      </c>
    </row>
    <row r="60" customHeight="1" spans="1:12">
      <c r="A60" s="9" t="s">
        <v>106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7"/>
    </row>
    <row r="61" customHeight="1" spans="1:12">
      <c r="A61" s="11" t="s">
        <v>7</v>
      </c>
      <c r="B61" s="11" t="s">
        <v>8</v>
      </c>
      <c r="C61" s="11" t="s">
        <v>9</v>
      </c>
      <c r="D61" s="11" t="s">
        <v>10</v>
      </c>
      <c r="E61" s="11" t="s">
        <v>11</v>
      </c>
      <c r="F61" s="12" t="s">
        <v>12</v>
      </c>
      <c r="G61" s="12" t="s">
        <v>13</v>
      </c>
      <c r="H61" s="12" t="s">
        <v>14</v>
      </c>
      <c r="I61" s="12" t="s">
        <v>15</v>
      </c>
      <c r="J61" s="12" t="s">
        <v>16</v>
      </c>
      <c r="K61" s="12" t="s">
        <v>17</v>
      </c>
      <c r="L61" s="12" t="s">
        <v>18</v>
      </c>
    </row>
    <row r="62" customHeight="1" spans="1:12">
      <c r="A62" s="25" t="s">
        <v>107</v>
      </c>
      <c r="B62" s="25" t="s">
        <v>108</v>
      </c>
      <c r="C62" s="25" t="s">
        <v>21</v>
      </c>
      <c r="D62" s="25">
        <v>2</v>
      </c>
      <c r="E62" s="19" t="s">
        <v>109</v>
      </c>
      <c r="F62" s="15">
        <v>461</v>
      </c>
      <c r="G62" s="15">
        <f t="shared" si="1"/>
        <v>922</v>
      </c>
      <c r="H62" s="15">
        <v>146</v>
      </c>
      <c r="I62" s="15">
        <f t="shared" si="2"/>
        <v>292</v>
      </c>
      <c r="J62" s="15">
        <f t="shared" ref="J62:J67" si="13">H62*0.4</f>
        <v>58.4</v>
      </c>
      <c r="K62" s="15">
        <f t="shared" si="4"/>
        <v>116.8</v>
      </c>
      <c r="L62" s="15">
        <f t="shared" ref="L62:L67" si="14">F62*D62+H62*D62+J62*D62</f>
        <v>1330.8</v>
      </c>
    </row>
    <row r="63" customHeight="1" spans="1:12">
      <c r="A63" s="25" t="s">
        <v>110</v>
      </c>
      <c r="B63" s="25" t="s">
        <v>111</v>
      </c>
      <c r="C63" s="25" t="s">
        <v>21</v>
      </c>
      <c r="D63" s="25">
        <v>3</v>
      </c>
      <c r="E63" s="19" t="s">
        <v>112</v>
      </c>
      <c r="F63" s="15">
        <v>357</v>
      </c>
      <c r="G63" s="15">
        <f t="shared" si="1"/>
        <v>1071</v>
      </c>
      <c r="H63" s="15">
        <v>11</v>
      </c>
      <c r="I63" s="15">
        <f t="shared" si="2"/>
        <v>33</v>
      </c>
      <c r="J63" s="15">
        <f t="shared" si="13"/>
        <v>4.4</v>
      </c>
      <c r="K63" s="15">
        <f t="shared" si="4"/>
        <v>13.2</v>
      </c>
      <c r="L63" s="15">
        <f t="shared" si="14"/>
        <v>1117.2</v>
      </c>
    </row>
    <row r="64" customHeight="1" spans="1:12">
      <c r="A64" s="25" t="s">
        <v>113</v>
      </c>
      <c r="B64" s="25" t="s">
        <v>114</v>
      </c>
      <c r="C64" s="25" t="s">
        <v>39</v>
      </c>
      <c r="D64" s="25">
        <v>4</v>
      </c>
      <c r="E64" s="19" t="s">
        <v>59</v>
      </c>
      <c r="F64" s="15">
        <v>75</v>
      </c>
      <c r="G64" s="15">
        <f t="shared" si="1"/>
        <v>300</v>
      </c>
      <c r="H64" s="15">
        <v>39</v>
      </c>
      <c r="I64" s="15">
        <f t="shared" si="2"/>
        <v>156</v>
      </c>
      <c r="J64" s="15">
        <f t="shared" si="13"/>
        <v>15.6</v>
      </c>
      <c r="K64" s="15">
        <f t="shared" si="4"/>
        <v>62.4</v>
      </c>
      <c r="L64" s="15">
        <f t="shared" si="14"/>
        <v>518.4</v>
      </c>
    </row>
    <row r="65" customHeight="1" spans="1:12">
      <c r="A65" s="25" t="s">
        <v>89</v>
      </c>
      <c r="B65" s="25" t="s">
        <v>90</v>
      </c>
      <c r="C65" s="25" t="s">
        <v>39</v>
      </c>
      <c r="D65" s="25">
        <v>6</v>
      </c>
      <c r="E65" s="19" t="s">
        <v>91</v>
      </c>
      <c r="F65" s="15">
        <v>15</v>
      </c>
      <c r="G65" s="15">
        <f t="shared" si="1"/>
        <v>90</v>
      </c>
      <c r="H65" s="15">
        <v>11</v>
      </c>
      <c r="I65" s="15">
        <f t="shared" si="2"/>
        <v>66</v>
      </c>
      <c r="J65" s="15">
        <f t="shared" si="13"/>
        <v>4.4</v>
      </c>
      <c r="K65" s="15">
        <f t="shared" si="4"/>
        <v>26.4</v>
      </c>
      <c r="L65" s="15">
        <f t="shared" si="14"/>
        <v>182.4</v>
      </c>
    </row>
    <row r="66" customHeight="1" spans="1:12">
      <c r="A66" s="13" t="s">
        <v>27</v>
      </c>
      <c r="B66" s="13" t="s">
        <v>28</v>
      </c>
      <c r="C66" s="13" t="s">
        <v>25</v>
      </c>
      <c r="D66" s="13">
        <v>200</v>
      </c>
      <c r="E66" s="19" t="s">
        <v>29</v>
      </c>
      <c r="F66" s="15">
        <v>3.3</v>
      </c>
      <c r="G66" s="15">
        <f t="shared" si="1"/>
        <v>660</v>
      </c>
      <c r="H66" s="16">
        <v>1.7</v>
      </c>
      <c r="I66" s="15">
        <f t="shared" si="2"/>
        <v>340</v>
      </c>
      <c r="J66" s="15">
        <f t="shared" si="13"/>
        <v>0.68</v>
      </c>
      <c r="K66" s="15">
        <f t="shared" si="4"/>
        <v>136</v>
      </c>
      <c r="L66" s="15">
        <f t="shared" si="14"/>
        <v>1136</v>
      </c>
    </row>
    <row r="67" customHeight="1" spans="1:12">
      <c r="A67" s="13" t="s">
        <v>54</v>
      </c>
      <c r="B67" s="13" t="s">
        <v>63</v>
      </c>
      <c r="C67" s="13" t="s">
        <v>25</v>
      </c>
      <c r="D67" s="20">
        <v>200</v>
      </c>
      <c r="E67" s="19" t="s">
        <v>64</v>
      </c>
      <c r="F67" s="15">
        <v>2.2</v>
      </c>
      <c r="G67" s="15">
        <f t="shared" si="1"/>
        <v>440</v>
      </c>
      <c r="H67" s="16">
        <v>1.7</v>
      </c>
      <c r="I67" s="15">
        <f t="shared" si="2"/>
        <v>340</v>
      </c>
      <c r="J67" s="15">
        <f t="shared" si="13"/>
        <v>0.68</v>
      </c>
      <c r="K67" s="15">
        <f t="shared" si="4"/>
        <v>136</v>
      </c>
      <c r="L67" s="15">
        <f t="shared" si="14"/>
        <v>916</v>
      </c>
    </row>
    <row r="68" customHeight="1" spans="1:12">
      <c r="A68" s="17" t="s">
        <v>47</v>
      </c>
      <c r="B68" s="17"/>
      <c r="C68" s="17"/>
      <c r="D68" s="17"/>
      <c r="E68" s="19"/>
      <c r="F68" s="15"/>
      <c r="G68" s="15">
        <f>SUM(G62:G67)</f>
        <v>3483</v>
      </c>
      <c r="H68" s="15"/>
      <c r="I68" s="15">
        <f>SUM(I62:I67)</f>
        <v>1227</v>
      </c>
      <c r="J68" s="15"/>
      <c r="K68" s="15">
        <f>SUM(K62:K67)</f>
        <v>490.8</v>
      </c>
      <c r="L68" s="15">
        <f>SUM(L62:L67)</f>
        <v>5200.8</v>
      </c>
    </row>
    <row r="69" customHeight="1" spans="1:12">
      <c r="A69" s="9" t="s">
        <v>115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7"/>
    </row>
    <row r="70" customHeight="1" spans="1:12">
      <c r="A70" s="11" t="s">
        <v>7</v>
      </c>
      <c r="B70" s="11" t="s">
        <v>8</v>
      </c>
      <c r="C70" s="11" t="s">
        <v>9</v>
      </c>
      <c r="D70" s="11" t="s">
        <v>10</v>
      </c>
      <c r="E70" s="11" t="s">
        <v>11</v>
      </c>
      <c r="F70" s="12" t="s">
        <v>12</v>
      </c>
      <c r="G70" s="12" t="s">
        <v>13</v>
      </c>
      <c r="H70" s="12" t="s">
        <v>14</v>
      </c>
      <c r="I70" s="12" t="s">
        <v>15</v>
      </c>
      <c r="J70" s="12" t="s">
        <v>16</v>
      </c>
      <c r="K70" s="12" t="s">
        <v>17</v>
      </c>
      <c r="L70" s="12" t="s">
        <v>18</v>
      </c>
    </row>
    <row r="71" customHeight="1" spans="1:12">
      <c r="A71" s="13" t="s">
        <v>27</v>
      </c>
      <c r="B71" s="13" t="s">
        <v>28</v>
      </c>
      <c r="C71" s="13" t="s">
        <v>25</v>
      </c>
      <c r="D71" s="13">
        <v>130</v>
      </c>
      <c r="E71" s="19" t="s">
        <v>29</v>
      </c>
      <c r="F71" s="15">
        <v>3.3</v>
      </c>
      <c r="G71" s="15">
        <f t="shared" ref="G70:G133" si="15">F71*D71</f>
        <v>429</v>
      </c>
      <c r="H71" s="16">
        <v>1.7</v>
      </c>
      <c r="I71" s="15">
        <f t="shared" ref="I70:I133" si="16">H71*D71</f>
        <v>221</v>
      </c>
      <c r="J71" s="15">
        <f t="shared" ref="J71:J76" si="17">H71*0.4</f>
        <v>0.68</v>
      </c>
      <c r="K71" s="15">
        <f t="shared" ref="K70:K133" si="18">J71*D71</f>
        <v>88.4</v>
      </c>
      <c r="L71" s="15">
        <f t="shared" ref="L71:L76" si="19">F71*D71+H71*D71+J71*D71</f>
        <v>738.4</v>
      </c>
    </row>
    <row r="72" customHeight="1" spans="1:12">
      <c r="A72" s="13" t="s">
        <v>54</v>
      </c>
      <c r="B72" s="13" t="s">
        <v>63</v>
      </c>
      <c r="C72" s="13" t="s">
        <v>25</v>
      </c>
      <c r="D72" s="20">
        <v>130</v>
      </c>
      <c r="E72" s="19" t="s">
        <v>64</v>
      </c>
      <c r="F72" s="15">
        <v>2.2</v>
      </c>
      <c r="G72" s="15">
        <f t="shared" si="15"/>
        <v>286</v>
      </c>
      <c r="H72" s="16">
        <v>1.7</v>
      </c>
      <c r="I72" s="15">
        <f t="shared" si="16"/>
        <v>221</v>
      </c>
      <c r="J72" s="15">
        <f t="shared" si="17"/>
        <v>0.68</v>
      </c>
      <c r="K72" s="15">
        <f t="shared" si="18"/>
        <v>88.4</v>
      </c>
      <c r="L72" s="15">
        <f t="shared" si="19"/>
        <v>595.4</v>
      </c>
    </row>
    <row r="73" customHeight="1" spans="1:12">
      <c r="A73" s="25" t="s">
        <v>116</v>
      </c>
      <c r="B73" s="25" t="s">
        <v>117</v>
      </c>
      <c r="C73" s="25" t="s">
        <v>39</v>
      </c>
      <c r="D73" s="25">
        <v>4</v>
      </c>
      <c r="E73" s="19" t="s">
        <v>118</v>
      </c>
      <c r="F73" s="15">
        <v>15</v>
      </c>
      <c r="G73" s="15">
        <f t="shared" si="15"/>
        <v>60</v>
      </c>
      <c r="H73" s="15">
        <v>56</v>
      </c>
      <c r="I73" s="15">
        <f t="shared" si="16"/>
        <v>224</v>
      </c>
      <c r="J73" s="15">
        <f t="shared" si="17"/>
        <v>22.4</v>
      </c>
      <c r="K73" s="15">
        <f t="shared" si="18"/>
        <v>89.6</v>
      </c>
      <c r="L73" s="15">
        <f t="shared" si="19"/>
        <v>373.6</v>
      </c>
    </row>
    <row r="74" customHeight="1" spans="1:12">
      <c r="A74" s="25" t="s">
        <v>119</v>
      </c>
      <c r="B74" s="25" t="s">
        <v>120</v>
      </c>
      <c r="C74" s="25" t="s">
        <v>21</v>
      </c>
      <c r="D74" s="25">
        <v>2</v>
      </c>
      <c r="E74" s="19" t="s">
        <v>121</v>
      </c>
      <c r="F74" s="15">
        <v>45</v>
      </c>
      <c r="G74" s="15">
        <f t="shared" si="15"/>
        <v>90</v>
      </c>
      <c r="H74" s="15">
        <v>11</v>
      </c>
      <c r="I74" s="15">
        <f t="shared" si="16"/>
        <v>22</v>
      </c>
      <c r="J74" s="15">
        <f t="shared" si="17"/>
        <v>4.4</v>
      </c>
      <c r="K74" s="15">
        <f t="shared" si="18"/>
        <v>8.8</v>
      </c>
      <c r="L74" s="15">
        <f t="shared" si="19"/>
        <v>120.8</v>
      </c>
    </row>
    <row r="75" customHeight="1" spans="1:12">
      <c r="A75" s="13" t="s">
        <v>19</v>
      </c>
      <c r="B75" s="13" t="s">
        <v>77</v>
      </c>
      <c r="C75" s="13" t="s">
        <v>21</v>
      </c>
      <c r="D75" s="20">
        <v>1</v>
      </c>
      <c r="E75" s="19" t="s">
        <v>78</v>
      </c>
      <c r="F75" s="15">
        <v>227</v>
      </c>
      <c r="G75" s="15">
        <f t="shared" si="15"/>
        <v>227</v>
      </c>
      <c r="H75" s="15">
        <v>146</v>
      </c>
      <c r="I75" s="15">
        <f t="shared" si="16"/>
        <v>146</v>
      </c>
      <c r="J75" s="15">
        <f t="shared" si="17"/>
        <v>58.4</v>
      </c>
      <c r="K75" s="15">
        <f t="shared" si="18"/>
        <v>58.4</v>
      </c>
      <c r="L75" s="15">
        <f t="shared" si="19"/>
        <v>431.4</v>
      </c>
    </row>
    <row r="76" customHeight="1" spans="1:12">
      <c r="A76" s="25" t="s">
        <v>103</v>
      </c>
      <c r="B76" s="25" t="s">
        <v>122</v>
      </c>
      <c r="C76" s="25" t="s">
        <v>32</v>
      </c>
      <c r="D76" s="25">
        <v>2</v>
      </c>
      <c r="E76" s="19" t="s">
        <v>105</v>
      </c>
      <c r="F76" s="15">
        <v>81</v>
      </c>
      <c r="G76" s="15">
        <f t="shared" si="15"/>
        <v>162</v>
      </c>
      <c r="H76" s="15">
        <v>112</v>
      </c>
      <c r="I76" s="15">
        <f t="shared" si="16"/>
        <v>224</v>
      </c>
      <c r="J76" s="15">
        <f t="shared" si="17"/>
        <v>44.8</v>
      </c>
      <c r="K76" s="15">
        <f t="shared" si="18"/>
        <v>89.6</v>
      </c>
      <c r="L76" s="15">
        <f t="shared" si="19"/>
        <v>475.6</v>
      </c>
    </row>
    <row r="77" customHeight="1" spans="1:12">
      <c r="A77" s="17" t="s">
        <v>47</v>
      </c>
      <c r="B77" s="17"/>
      <c r="C77" s="17"/>
      <c r="D77" s="17"/>
      <c r="E77" s="19"/>
      <c r="F77" s="15"/>
      <c r="G77" s="15">
        <f>SUM(G71:G76)</f>
        <v>1254</v>
      </c>
      <c r="H77" s="15"/>
      <c r="I77" s="15">
        <f>SUM(I71:I76)</f>
        <v>1058</v>
      </c>
      <c r="J77" s="15"/>
      <c r="K77" s="15">
        <f>SUM(K71:K76)</f>
        <v>423.2</v>
      </c>
      <c r="L77" s="15">
        <f>SUM(L71:L76)</f>
        <v>2735.2</v>
      </c>
    </row>
    <row r="78" customHeight="1" spans="1:12">
      <c r="A78" s="9" t="s">
        <v>123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7"/>
    </row>
    <row r="79" customHeight="1" spans="1:12">
      <c r="A79" s="11" t="s">
        <v>7</v>
      </c>
      <c r="B79" s="11" t="s">
        <v>8</v>
      </c>
      <c r="C79" s="11" t="s">
        <v>9</v>
      </c>
      <c r="D79" s="11" t="s">
        <v>10</v>
      </c>
      <c r="E79" s="11" t="s">
        <v>11</v>
      </c>
      <c r="F79" s="12" t="s">
        <v>12</v>
      </c>
      <c r="G79" s="12" t="s">
        <v>13</v>
      </c>
      <c r="H79" s="12" t="s">
        <v>14</v>
      </c>
      <c r="I79" s="12" t="s">
        <v>15</v>
      </c>
      <c r="J79" s="12" t="s">
        <v>16</v>
      </c>
      <c r="K79" s="12" t="s">
        <v>17</v>
      </c>
      <c r="L79" s="12" t="s">
        <v>18</v>
      </c>
    </row>
    <row r="80" customHeight="1" spans="1:12">
      <c r="A80" s="25" t="s">
        <v>124</v>
      </c>
      <c r="B80" s="25" t="s">
        <v>125</v>
      </c>
      <c r="C80" s="25" t="s">
        <v>21</v>
      </c>
      <c r="D80" s="25">
        <v>6</v>
      </c>
      <c r="E80" s="19" t="s">
        <v>126</v>
      </c>
      <c r="F80" s="15">
        <v>227</v>
      </c>
      <c r="G80" s="15">
        <f t="shared" si="15"/>
        <v>1362</v>
      </c>
      <c r="H80" s="15">
        <v>146</v>
      </c>
      <c r="I80" s="15">
        <f t="shared" si="16"/>
        <v>876</v>
      </c>
      <c r="J80" s="15">
        <f t="shared" ref="J80:J90" si="20">H80*0.4</f>
        <v>58.4</v>
      </c>
      <c r="K80" s="15">
        <f t="shared" si="18"/>
        <v>350.4</v>
      </c>
      <c r="L80" s="15">
        <f t="shared" ref="L80:L90" si="21">F80*D80+H80*D80+J80*D80</f>
        <v>2588.4</v>
      </c>
    </row>
    <row r="81" customHeight="1" spans="1:12">
      <c r="A81" s="13" t="s">
        <v>27</v>
      </c>
      <c r="B81" s="13" t="s">
        <v>28</v>
      </c>
      <c r="C81" s="13" t="s">
        <v>25</v>
      </c>
      <c r="D81" s="13">
        <v>150</v>
      </c>
      <c r="E81" s="19" t="s">
        <v>29</v>
      </c>
      <c r="F81" s="15">
        <v>3.3</v>
      </c>
      <c r="G81" s="15">
        <f t="shared" si="15"/>
        <v>495</v>
      </c>
      <c r="H81" s="16">
        <v>1.7</v>
      </c>
      <c r="I81" s="15">
        <f t="shared" si="16"/>
        <v>255</v>
      </c>
      <c r="J81" s="15">
        <f t="shared" si="20"/>
        <v>0.68</v>
      </c>
      <c r="K81" s="15">
        <f t="shared" si="18"/>
        <v>102</v>
      </c>
      <c r="L81" s="15">
        <f t="shared" si="21"/>
        <v>852</v>
      </c>
    </row>
    <row r="82" customHeight="1" spans="1:12">
      <c r="A82" s="13" t="s">
        <v>54</v>
      </c>
      <c r="B82" s="13" t="s">
        <v>63</v>
      </c>
      <c r="C82" s="13" t="s">
        <v>25</v>
      </c>
      <c r="D82" s="20">
        <v>200</v>
      </c>
      <c r="E82" s="19" t="s">
        <v>64</v>
      </c>
      <c r="F82" s="15">
        <v>2.2</v>
      </c>
      <c r="G82" s="15">
        <f t="shared" si="15"/>
        <v>440</v>
      </c>
      <c r="H82" s="16">
        <v>1.7</v>
      </c>
      <c r="I82" s="15">
        <f t="shared" si="16"/>
        <v>340</v>
      </c>
      <c r="J82" s="15">
        <f t="shared" si="20"/>
        <v>0.68</v>
      </c>
      <c r="K82" s="15">
        <f t="shared" si="18"/>
        <v>136</v>
      </c>
      <c r="L82" s="15">
        <f t="shared" si="21"/>
        <v>916</v>
      </c>
    </row>
    <row r="83" customHeight="1" spans="1:12">
      <c r="A83" s="25" t="s">
        <v>89</v>
      </c>
      <c r="B83" s="25" t="s">
        <v>90</v>
      </c>
      <c r="C83" s="25" t="s">
        <v>39</v>
      </c>
      <c r="D83" s="25">
        <v>4</v>
      </c>
      <c r="E83" s="19" t="s">
        <v>91</v>
      </c>
      <c r="F83" s="15">
        <v>15</v>
      </c>
      <c r="G83" s="15">
        <f t="shared" si="15"/>
        <v>60</v>
      </c>
      <c r="H83" s="15">
        <v>11</v>
      </c>
      <c r="I83" s="15">
        <f t="shared" si="16"/>
        <v>44</v>
      </c>
      <c r="J83" s="15">
        <f t="shared" si="20"/>
        <v>4.4</v>
      </c>
      <c r="K83" s="15">
        <f t="shared" si="18"/>
        <v>17.6</v>
      </c>
      <c r="L83" s="15">
        <f t="shared" si="21"/>
        <v>121.6</v>
      </c>
    </row>
    <row r="84" customHeight="1" spans="1:12">
      <c r="A84" s="25" t="s">
        <v>92</v>
      </c>
      <c r="B84" s="25" t="s">
        <v>127</v>
      </c>
      <c r="C84" s="25" t="s">
        <v>94</v>
      </c>
      <c r="D84" s="25">
        <v>4</v>
      </c>
      <c r="E84" s="19" t="s">
        <v>102</v>
      </c>
      <c r="F84" s="15">
        <v>142</v>
      </c>
      <c r="G84" s="15">
        <f t="shared" si="15"/>
        <v>568</v>
      </c>
      <c r="H84" s="15">
        <v>17</v>
      </c>
      <c r="I84" s="15">
        <f t="shared" si="16"/>
        <v>68</v>
      </c>
      <c r="J84" s="15">
        <f t="shared" si="20"/>
        <v>6.8</v>
      </c>
      <c r="K84" s="15">
        <f t="shared" si="18"/>
        <v>27.2</v>
      </c>
      <c r="L84" s="15">
        <f t="shared" si="21"/>
        <v>663.2</v>
      </c>
    </row>
    <row r="85" customHeight="1" spans="1:12">
      <c r="A85" s="25" t="s">
        <v>116</v>
      </c>
      <c r="B85" s="25" t="s">
        <v>128</v>
      </c>
      <c r="C85" s="25" t="s">
        <v>39</v>
      </c>
      <c r="D85" s="25">
        <v>6</v>
      </c>
      <c r="E85" s="19" t="s">
        <v>129</v>
      </c>
      <c r="F85" s="15">
        <v>15</v>
      </c>
      <c r="G85" s="15">
        <f t="shared" si="15"/>
        <v>90</v>
      </c>
      <c r="H85" s="15">
        <v>56</v>
      </c>
      <c r="I85" s="15">
        <f t="shared" si="16"/>
        <v>336</v>
      </c>
      <c r="J85" s="15">
        <f t="shared" si="20"/>
        <v>22.4</v>
      </c>
      <c r="K85" s="15">
        <f t="shared" si="18"/>
        <v>134.4</v>
      </c>
      <c r="L85" s="15">
        <f t="shared" si="21"/>
        <v>560.4</v>
      </c>
    </row>
    <row r="86" customHeight="1" spans="1:12">
      <c r="A86" s="25" t="s">
        <v>130</v>
      </c>
      <c r="B86" s="25" t="s">
        <v>111</v>
      </c>
      <c r="C86" s="25" t="s">
        <v>21</v>
      </c>
      <c r="D86" s="25">
        <v>2</v>
      </c>
      <c r="E86" s="19" t="s">
        <v>131</v>
      </c>
      <c r="F86" s="15">
        <v>1843</v>
      </c>
      <c r="G86" s="15">
        <f t="shared" si="15"/>
        <v>3686</v>
      </c>
      <c r="H86" s="15">
        <v>39</v>
      </c>
      <c r="I86" s="15">
        <f t="shared" si="16"/>
        <v>78</v>
      </c>
      <c r="J86" s="15">
        <f t="shared" si="20"/>
        <v>15.6</v>
      </c>
      <c r="K86" s="15">
        <f t="shared" si="18"/>
        <v>31.2</v>
      </c>
      <c r="L86" s="15">
        <f t="shared" si="21"/>
        <v>3795.2</v>
      </c>
    </row>
    <row r="87" customHeight="1" spans="1:12">
      <c r="A87" s="13" t="s">
        <v>34</v>
      </c>
      <c r="B87" s="13" t="s">
        <v>96</v>
      </c>
      <c r="C87" s="13" t="s">
        <v>21</v>
      </c>
      <c r="D87" s="20">
        <v>4</v>
      </c>
      <c r="E87" s="14" t="s">
        <v>36</v>
      </c>
      <c r="F87" s="15">
        <v>357</v>
      </c>
      <c r="G87" s="15">
        <f t="shared" si="15"/>
        <v>1428</v>
      </c>
      <c r="H87" s="15">
        <v>39</v>
      </c>
      <c r="I87" s="15">
        <f t="shared" si="16"/>
        <v>156</v>
      </c>
      <c r="J87" s="15">
        <f t="shared" si="20"/>
        <v>15.6</v>
      </c>
      <c r="K87" s="15">
        <f t="shared" si="18"/>
        <v>62.4</v>
      </c>
      <c r="L87" s="15">
        <f t="shared" si="21"/>
        <v>1646.4</v>
      </c>
    </row>
    <row r="88" customHeight="1" spans="1:12">
      <c r="A88" s="25" t="s">
        <v>132</v>
      </c>
      <c r="B88" s="25" t="s">
        <v>133</v>
      </c>
      <c r="C88" s="25" t="s">
        <v>134</v>
      </c>
      <c r="D88" s="25">
        <v>1</v>
      </c>
      <c r="E88" s="19" t="s">
        <v>135</v>
      </c>
      <c r="F88" s="15">
        <v>0</v>
      </c>
      <c r="G88" s="15">
        <f t="shared" si="15"/>
        <v>0</v>
      </c>
      <c r="H88" s="15">
        <v>257</v>
      </c>
      <c r="I88" s="15">
        <f t="shared" si="16"/>
        <v>257</v>
      </c>
      <c r="J88" s="15">
        <f t="shared" si="20"/>
        <v>102.8</v>
      </c>
      <c r="K88" s="15">
        <f t="shared" si="18"/>
        <v>102.8</v>
      </c>
      <c r="L88" s="15">
        <f t="shared" si="21"/>
        <v>359.8</v>
      </c>
    </row>
    <row r="89" customHeight="1" spans="1:12">
      <c r="A89" s="13" t="s">
        <v>136</v>
      </c>
      <c r="B89" s="13" t="s">
        <v>82</v>
      </c>
      <c r="C89" s="13" t="s">
        <v>137</v>
      </c>
      <c r="D89" s="13">
        <v>1</v>
      </c>
      <c r="E89" s="14" t="s">
        <v>138</v>
      </c>
      <c r="F89" s="15">
        <v>0</v>
      </c>
      <c r="G89" s="15">
        <f t="shared" si="15"/>
        <v>0</v>
      </c>
      <c r="H89" s="15">
        <v>740</v>
      </c>
      <c r="I89" s="15">
        <f t="shared" si="16"/>
        <v>740</v>
      </c>
      <c r="J89" s="15">
        <f t="shared" si="20"/>
        <v>296</v>
      </c>
      <c r="K89" s="15">
        <f t="shared" si="18"/>
        <v>296</v>
      </c>
      <c r="L89" s="15">
        <f t="shared" si="21"/>
        <v>1036</v>
      </c>
    </row>
    <row r="90" customHeight="1" spans="1:12">
      <c r="A90" s="25" t="s">
        <v>139</v>
      </c>
      <c r="B90" s="25" t="s">
        <v>140</v>
      </c>
      <c r="C90" s="25" t="s">
        <v>52</v>
      </c>
      <c r="D90" s="25">
        <v>4</v>
      </c>
      <c r="E90" s="19" t="s">
        <v>141</v>
      </c>
      <c r="F90" s="15">
        <v>1632</v>
      </c>
      <c r="G90" s="15">
        <f t="shared" si="15"/>
        <v>6528</v>
      </c>
      <c r="H90" s="15">
        <v>11</v>
      </c>
      <c r="I90" s="15">
        <f t="shared" si="16"/>
        <v>44</v>
      </c>
      <c r="J90" s="15">
        <f t="shared" si="20"/>
        <v>4.4</v>
      </c>
      <c r="K90" s="15">
        <f t="shared" si="18"/>
        <v>17.6</v>
      </c>
      <c r="L90" s="15">
        <f t="shared" si="21"/>
        <v>6589.6</v>
      </c>
    </row>
    <row r="91" customHeight="1" spans="1:12">
      <c r="A91" s="17" t="s">
        <v>47</v>
      </c>
      <c r="B91" s="17"/>
      <c r="C91" s="17"/>
      <c r="D91" s="17"/>
      <c r="E91" s="19"/>
      <c r="F91" s="15"/>
      <c r="G91" s="15">
        <f>SUM(G80:G90)</f>
        <v>14657</v>
      </c>
      <c r="H91" s="15"/>
      <c r="I91" s="15">
        <f>SUM(I80:I90)</f>
        <v>3194</v>
      </c>
      <c r="J91" s="15"/>
      <c r="K91" s="15">
        <f>SUM(K80:K90)</f>
        <v>1277.6</v>
      </c>
      <c r="L91" s="15">
        <f>SUM(L80:L90)</f>
        <v>19128.6</v>
      </c>
    </row>
    <row r="92" customHeight="1" spans="1:12">
      <c r="A92" s="9" t="s">
        <v>142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7"/>
    </row>
    <row r="93" customHeight="1" spans="1:12">
      <c r="A93" s="11" t="s">
        <v>7</v>
      </c>
      <c r="B93" s="11" t="s">
        <v>8</v>
      </c>
      <c r="C93" s="11" t="s">
        <v>9</v>
      </c>
      <c r="D93" s="11" t="s">
        <v>10</v>
      </c>
      <c r="E93" s="11" t="s">
        <v>11</v>
      </c>
      <c r="F93" s="12" t="s">
        <v>12</v>
      </c>
      <c r="G93" s="12" t="s">
        <v>13</v>
      </c>
      <c r="H93" s="12" t="s">
        <v>14</v>
      </c>
      <c r="I93" s="12" t="s">
        <v>15</v>
      </c>
      <c r="J93" s="12" t="s">
        <v>16</v>
      </c>
      <c r="K93" s="12" t="s">
        <v>17</v>
      </c>
      <c r="L93" s="12" t="s">
        <v>18</v>
      </c>
    </row>
    <row r="94" customHeight="1" spans="1:12">
      <c r="A94" s="13" t="s">
        <v>27</v>
      </c>
      <c r="B94" s="13" t="s">
        <v>28</v>
      </c>
      <c r="C94" s="13" t="s">
        <v>25</v>
      </c>
      <c r="D94" s="13">
        <v>80</v>
      </c>
      <c r="E94" s="19" t="s">
        <v>29</v>
      </c>
      <c r="F94" s="15">
        <v>3.3</v>
      </c>
      <c r="G94" s="15">
        <f t="shared" si="15"/>
        <v>264</v>
      </c>
      <c r="H94" s="16">
        <v>1.7</v>
      </c>
      <c r="I94" s="15">
        <f t="shared" si="16"/>
        <v>136</v>
      </c>
      <c r="J94" s="15">
        <f>H94*0.4</f>
        <v>0.68</v>
      </c>
      <c r="K94" s="15">
        <f t="shared" si="18"/>
        <v>54.4</v>
      </c>
      <c r="L94" s="15">
        <f>F94*D94+H94*D94+J94*D94</f>
        <v>454.4</v>
      </c>
    </row>
    <row r="95" customHeight="1" spans="1:12">
      <c r="A95" s="13" t="s">
        <v>54</v>
      </c>
      <c r="B95" s="13" t="s">
        <v>63</v>
      </c>
      <c r="C95" s="13" t="s">
        <v>25</v>
      </c>
      <c r="D95" s="20">
        <v>140</v>
      </c>
      <c r="E95" s="19" t="s">
        <v>64</v>
      </c>
      <c r="F95" s="15">
        <v>2.2</v>
      </c>
      <c r="G95" s="15">
        <f t="shared" si="15"/>
        <v>308</v>
      </c>
      <c r="H95" s="16">
        <v>1.7</v>
      </c>
      <c r="I95" s="15">
        <f t="shared" si="16"/>
        <v>238</v>
      </c>
      <c r="J95" s="15">
        <f>H95*0.4</f>
        <v>0.68</v>
      </c>
      <c r="K95" s="15">
        <f t="shared" si="18"/>
        <v>95.2</v>
      </c>
      <c r="L95" s="15">
        <f>F95*D95+H95*D95+J95*D95</f>
        <v>641.2</v>
      </c>
    </row>
    <row r="96" customHeight="1" spans="1:12">
      <c r="A96" s="25" t="s">
        <v>113</v>
      </c>
      <c r="B96" s="25" t="s">
        <v>143</v>
      </c>
      <c r="C96" s="25" t="s">
        <v>39</v>
      </c>
      <c r="D96" s="25">
        <v>3</v>
      </c>
      <c r="E96" s="19" t="s">
        <v>144</v>
      </c>
      <c r="F96" s="15">
        <v>75</v>
      </c>
      <c r="G96" s="15">
        <f t="shared" si="15"/>
        <v>225</v>
      </c>
      <c r="H96" s="15">
        <v>39</v>
      </c>
      <c r="I96" s="15">
        <f t="shared" si="16"/>
        <v>117</v>
      </c>
      <c r="J96" s="15">
        <f>H96*0.4</f>
        <v>15.6</v>
      </c>
      <c r="K96" s="15">
        <f t="shared" si="18"/>
        <v>46.8</v>
      </c>
      <c r="L96" s="15">
        <f>F96*D96+H96*D96+J96*D96</f>
        <v>388.8</v>
      </c>
    </row>
    <row r="97" customHeight="1" spans="1:12">
      <c r="A97" s="25" t="s">
        <v>145</v>
      </c>
      <c r="B97" s="25" t="s">
        <v>146</v>
      </c>
      <c r="C97" s="25" t="s">
        <v>39</v>
      </c>
      <c r="D97" s="25">
        <v>4</v>
      </c>
      <c r="E97" s="19" t="s">
        <v>147</v>
      </c>
      <c r="F97" s="15">
        <v>35</v>
      </c>
      <c r="G97" s="15">
        <f t="shared" si="15"/>
        <v>140</v>
      </c>
      <c r="H97" s="15">
        <v>11</v>
      </c>
      <c r="I97" s="15">
        <f t="shared" si="16"/>
        <v>44</v>
      </c>
      <c r="J97" s="15">
        <f>H97*0.4</f>
        <v>4.4</v>
      </c>
      <c r="K97" s="15">
        <f t="shared" si="18"/>
        <v>17.6</v>
      </c>
      <c r="L97" s="15">
        <f>F97*D97+H97*D97+J97*D97</f>
        <v>201.6</v>
      </c>
    </row>
    <row r="98" customHeight="1" spans="1:12">
      <c r="A98" s="25" t="s">
        <v>148</v>
      </c>
      <c r="B98" s="25" t="s">
        <v>149</v>
      </c>
      <c r="C98" s="25" t="s">
        <v>39</v>
      </c>
      <c r="D98" s="25">
        <v>2</v>
      </c>
      <c r="E98" s="19" t="s">
        <v>150</v>
      </c>
      <c r="F98" s="15">
        <v>47</v>
      </c>
      <c r="G98" s="15">
        <f t="shared" si="15"/>
        <v>94</v>
      </c>
      <c r="H98" s="15">
        <v>11</v>
      </c>
      <c r="I98" s="15">
        <f t="shared" si="16"/>
        <v>22</v>
      </c>
      <c r="J98" s="15">
        <f>H98*0.4</f>
        <v>4.4</v>
      </c>
      <c r="K98" s="15">
        <f t="shared" si="18"/>
        <v>8.8</v>
      </c>
      <c r="L98" s="15">
        <f>F98*D98+H98*D98+J98*D98</f>
        <v>124.8</v>
      </c>
    </row>
    <row r="99" customHeight="1" spans="1:12">
      <c r="A99" s="17" t="s">
        <v>47</v>
      </c>
      <c r="B99" s="17"/>
      <c r="C99" s="17"/>
      <c r="D99" s="17"/>
      <c r="E99" s="19"/>
      <c r="F99" s="15"/>
      <c r="G99" s="15">
        <f>SUM(G94:G98)</f>
        <v>1031</v>
      </c>
      <c r="H99" s="15"/>
      <c r="I99" s="15">
        <f>SUM(I94:I98)</f>
        <v>557</v>
      </c>
      <c r="J99" s="15"/>
      <c r="K99" s="15">
        <f>SUM(K94:K98)</f>
        <v>222.8</v>
      </c>
      <c r="L99" s="15">
        <f>SUM(L94:L98)</f>
        <v>1810.8</v>
      </c>
    </row>
    <row r="100" customHeight="1" spans="1:12">
      <c r="A100" s="9" t="s">
        <v>151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27"/>
    </row>
    <row r="101" customHeight="1" spans="1:12">
      <c r="A101" s="11" t="s">
        <v>7</v>
      </c>
      <c r="B101" s="11" t="s">
        <v>8</v>
      </c>
      <c r="C101" s="11" t="s">
        <v>9</v>
      </c>
      <c r="D101" s="11" t="s">
        <v>10</v>
      </c>
      <c r="E101" s="11" t="s">
        <v>11</v>
      </c>
      <c r="F101" s="12" t="s">
        <v>12</v>
      </c>
      <c r="G101" s="12" t="s">
        <v>13</v>
      </c>
      <c r="H101" s="12" t="s">
        <v>14</v>
      </c>
      <c r="I101" s="12" t="s">
        <v>15</v>
      </c>
      <c r="J101" s="12" t="s">
        <v>16</v>
      </c>
      <c r="K101" s="12" t="s">
        <v>17</v>
      </c>
      <c r="L101" s="12" t="s">
        <v>18</v>
      </c>
    </row>
    <row r="102" customHeight="1" spans="1:12">
      <c r="A102" s="13" t="s">
        <v>27</v>
      </c>
      <c r="B102" s="13" t="s">
        <v>28</v>
      </c>
      <c r="C102" s="13" t="s">
        <v>25</v>
      </c>
      <c r="D102" s="13">
        <v>170</v>
      </c>
      <c r="E102" s="19" t="s">
        <v>29</v>
      </c>
      <c r="F102" s="15">
        <v>3.3</v>
      </c>
      <c r="G102" s="15">
        <f t="shared" si="15"/>
        <v>561</v>
      </c>
      <c r="H102" s="16">
        <v>1.7</v>
      </c>
      <c r="I102" s="15">
        <f t="shared" si="16"/>
        <v>289</v>
      </c>
      <c r="J102" s="15">
        <f t="shared" ref="J102:J107" si="22">H102*0.4</f>
        <v>0.68</v>
      </c>
      <c r="K102" s="15">
        <f t="shared" si="18"/>
        <v>115.6</v>
      </c>
      <c r="L102" s="15">
        <f t="shared" ref="L102:L107" si="23">F102*D102+H102*D102+J102*D102</f>
        <v>965.6</v>
      </c>
    </row>
    <row r="103" customHeight="1" spans="1:12">
      <c r="A103" s="13" t="s">
        <v>54</v>
      </c>
      <c r="B103" s="13" t="s">
        <v>63</v>
      </c>
      <c r="C103" s="13" t="s">
        <v>25</v>
      </c>
      <c r="D103" s="20">
        <v>130</v>
      </c>
      <c r="E103" s="19" t="s">
        <v>64</v>
      </c>
      <c r="F103" s="15">
        <v>2.2</v>
      </c>
      <c r="G103" s="15">
        <f t="shared" si="15"/>
        <v>286</v>
      </c>
      <c r="H103" s="16">
        <v>1.7</v>
      </c>
      <c r="I103" s="15">
        <f t="shared" si="16"/>
        <v>221</v>
      </c>
      <c r="J103" s="15">
        <f t="shared" si="22"/>
        <v>0.68</v>
      </c>
      <c r="K103" s="15">
        <f t="shared" si="18"/>
        <v>88.4</v>
      </c>
      <c r="L103" s="15">
        <f t="shared" si="23"/>
        <v>595.4</v>
      </c>
    </row>
    <row r="104" customHeight="1" spans="1:12">
      <c r="A104" s="13" t="s">
        <v>34</v>
      </c>
      <c r="B104" s="13" t="s">
        <v>79</v>
      </c>
      <c r="C104" s="13" t="s">
        <v>21</v>
      </c>
      <c r="D104" s="20">
        <v>1</v>
      </c>
      <c r="E104" s="19" t="s">
        <v>80</v>
      </c>
      <c r="F104" s="15">
        <v>1078</v>
      </c>
      <c r="G104" s="15">
        <f t="shared" si="15"/>
        <v>1078</v>
      </c>
      <c r="H104" s="15">
        <v>39</v>
      </c>
      <c r="I104" s="15">
        <f t="shared" si="16"/>
        <v>39</v>
      </c>
      <c r="J104" s="15">
        <f t="shared" si="22"/>
        <v>15.6</v>
      </c>
      <c r="K104" s="15">
        <f t="shared" si="18"/>
        <v>15.6</v>
      </c>
      <c r="L104" s="15">
        <f t="shared" si="23"/>
        <v>1132.6</v>
      </c>
    </row>
    <row r="105" customHeight="1" spans="1:12">
      <c r="A105" s="25" t="s">
        <v>92</v>
      </c>
      <c r="B105" s="25" t="s">
        <v>152</v>
      </c>
      <c r="C105" s="25" t="s">
        <v>94</v>
      </c>
      <c r="D105" s="25">
        <v>4</v>
      </c>
      <c r="E105" s="19" t="s">
        <v>102</v>
      </c>
      <c r="F105" s="15">
        <v>141</v>
      </c>
      <c r="G105" s="15">
        <f t="shared" si="15"/>
        <v>564</v>
      </c>
      <c r="H105" s="15">
        <v>17</v>
      </c>
      <c r="I105" s="15">
        <f t="shared" si="16"/>
        <v>68</v>
      </c>
      <c r="J105" s="15">
        <f t="shared" si="22"/>
        <v>6.8</v>
      </c>
      <c r="K105" s="15">
        <f t="shared" si="18"/>
        <v>27.2</v>
      </c>
      <c r="L105" s="15">
        <f t="shared" si="23"/>
        <v>659.2</v>
      </c>
    </row>
    <row r="106" customHeight="1" spans="1:12">
      <c r="A106" s="25" t="s">
        <v>145</v>
      </c>
      <c r="B106" s="25" t="s">
        <v>153</v>
      </c>
      <c r="C106" s="25" t="s">
        <v>39</v>
      </c>
      <c r="D106" s="25">
        <v>4</v>
      </c>
      <c r="E106" s="19" t="s">
        <v>154</v>
      </c>
      <c r="F106" s="15">
        <v>27</v>
      </c>
      <c r="G106" s="15">
        <f t="shared" si="15"/>
        <v>108</v>
      </c>
      <c r="H106" s="15">
        <v>11</v>
      </c>
      <c r="I106" s="15">
        <f t="shared" si="16"/>
        <v>44</v>
      </c>
      <c r="J106" s="15">
        <f t="shared" si="22"/>
        <v>4.4</v>
      </c>
      <c r="K106" s="15">
        <f t="shared" si="18"/>
        <v>17.6</v>
      </c>
      <c r="L106" s="15">
        <f t="shared" si="23"/>
        <v>169.6</v>
      </c>
    </row>
    <row r="107" customHeight="1" spans="1:12">
      <c r="A107" s="13" t="s">
        <v>73</v>
      </c>
      <c r="B107" s="13" t="s">
        <v>74</v>
      </c>
      <c r="C107" s="13" t="s">
        <v>75</v>
      </c>
      <c r="D107" s="13">
        <v>1</v>
      </c>
      <c r="E107" s="19" t="s">
        <v>60</v>
      </c>
      <c r="F107" s="15">
        <v>0</v>
      </c>
      <c r="G107" s="15">
        <f t="shared" si="15"/>
        <v>0</v>
      </c>
      <c r="H107" s="15">
        <v>674</v>
      </c>
      <c r="I107" s="15">
        <f t="shared" si="16"/>
        <v>674</v>
      </c>
      <c r="J107" s="15">
        <v>0</v>
      </c>
      <c r="K107" s="15">
        <f t="shared" si="18"/>
        <v>0</v>
      </c>
      <c r="L107" s="15">
        <f t="shared" si="23"/>
        <v>674</v>
      </c>
    </row>
    <row r="108" customHeight="1" spans="1:12">
      <c r="A108" s="17" t="s">
        <v>47</v>
      </c>
      <c r="B108" s="17"/>
      <c r="C108" s="17"/>
      <c r="D108" s="17"/>
      <c r="E108" s="19"/>
      <c r="F108" s="15"/>
      <c r="G108" s="15">
        <f>SUM(G102:G107)</f>
        <v>2597</v>
      </c>
      <c r="H108" s="15"/>
      <c r="I108" s="15">
        <f>SUM(I102:I107)</f>
        <v>1335</v>
      </c>
      <c r="J108" s="15"/>
      <c r="K108" s="15">
        <f>SUM(K102:K107)</f>
        <v>264.4</v>
      </c>
      <c r="L108" s="15">
        <f>SUM(L102:L107)</f>
        <v>4196.4</v>
      </c>
    </row>
    <row r="109" customHeight="1" spans="1:12">
      <c r="A109" s="9" t="s">
        <v>155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27"/>
    </row>
    <row r="110" customHeight="1" spans="1:12">
      <c r="A110" s="11" t="s">
        <v>7</v>
      </c>
      <c r="B110" s="11" t="s">
        <v>8</v>
      </c>
      <c r="C110" s="11" t="s">
        <v>9</v>
      </c>
      <c r="D110" s="11" t="s">
        <v>10</v>
      </c>
      <c r="E110" s="11" t="s">
        <v>11</v>
      </c>
      <c r="F110" s="12" t="s">
        <v>12</v>
      </c>
      <c r="G110" s="12" t="s">
        <v>13</v>
      </c>
      <c r="H110" s="12" t="s">
        <v>14</v>
      </c>
      <c r="I110" s="12" t="s">
        <v>15</v>
      </c>
      <c r="J110" s="12" t="s">
        <v>16</v>
      </c>
      <c r="K110" s="12" t="s">
        <v>17</v>
      </c>
      <c r="L110" s="12" t="s">
        <v>18</v>
      </c>
    </row>
    <row r="111" s="1" customFormat="1" customHeight="1" spans="1:12">
      <c r="A111" s="25" t="s">
        <v>98</v>
      </c>
      <c r="B111" s="25" t="s">
        <v>156</v>
      </c>
      <c r="C111" s="25" t="s">
        <v>100</v>
      </c>
      <c r="D111" s="25">
        <v>3</v>
      </c>
      <c r="E111" s="19" t="s">
        <v>157</v>
      </c>
      <c r="F111" s="15">
        <v>0</v>
      </c>
      <c r="G111" s="15">
        <f t="shared" si="15"/>
        <v>0</v>
      </c>
      <c r="H111" s="15">
        <v>787</v>
      </c>
      <c r="I111" s="15">
        <f t="shared" si="16"/>
        <v>2361</v>
      </c>
      <c r="J111" s="15">
        <f>H111*0.4</f>
        <v>314.8</v>
      </c>
      <c r="K111" s="15">
        <f t="shared" si="18"/>
        <v>944.4</v>
      </c>
      <c r="L111" s="15">
        <f>F111*D111+H111*D111+J111*D111</f>
        <v>3305.4</v>
      </c>
    </row>
    <row r="112" customHeight="1" spans="1:12">
      <c r="A112" s="25" t="s">
        <v>124</v>
      </c>
      <c r="B112" s="25" t="s">
        <v>125</v>
      </c>
      <c r="C112" s="25" t="s">
        <v>21</v>
      </c>
      <c r="D112" s="25">
        <v>4</v>
      </c>
      <c r="E112" s="19" t="s">
        <v>126</v>
      </c>
      <c r="F112" s="15">
        <v>227</v>
      </c>
      <c r="G112" s="15">
        <f t="shared" si="15"/>
        <v>908</v>
      </c>
      <c r="H112" s="15">
        <v>146</v>
      </c>
      <c r="I112" s="15">
        <f t="shared" si="16"/>
        <v>584</v>
      </c>
      <c r="J112" s="15">
        <f>H112*0.4</f>
        <v>58.4</v>
      </c>
      <c r="K112" s="15">
        <f t="shared" si="18"/>
        <v>233.6</v>
      </c>
      <c r="L112" s="15">
        <f>F112*D112+H112*D112+J112*D112</f>
        <v>1725.6</v>
      </c>
    </row>
    <row r="113" customHeight="1" spans="1:12">
      <c r="A113" s="13" t="s">
        <v>34</v>
      </c>
      <c r="B113" s="13" t="s">
        <v>96</v>
      </c>
      <c r="C113" s="13" t="s">
        <v>21</v>
      </c>
      <c r="D113" s="20">
        <v>1</v>
      </c>
      <c r="E113" s="14" t="s">
        <v>36</v>
      </c>
      <c r="F113" s="15">
        <v>357</v>
      </c>
      <c r="G113" s="15">
        <f t="shared" si="15"/>
        <v>357</v>
      </c>
      <c r="H113" s="15">
        <v>39</v>
      </c>
      <c r="I113" s="15">
        <f t="shared" si="16"/>
        <v>39</v>
      </c>
      <c r="J113" s="15">
        <f>H113*0.4</f>
        <v>15.6</v>
      </c>
      <c r="K113" s="15">
        <f t="shared" si="18"/>
        <v>15.6</v>
      </c>
      <c r="L113" s="15">
        <f>F113*D113+H113*D113+J113*D113</f>
        <v>411.6</v>
      </c>
    </row>
    <row r="114" customHeight="1" spans="1:12">
      <c r="A114" s="13" t="s">
        <v>27</v>
      </c>
      <c r="B114" s="13" t="s">
        <v>28</v>
      </c>
      <c r="C114" s="13" t="s">
        <v>25</v>
      </c>
      <c r="D114" s="13">
        <v>60</v>
      </c>
      <c r="E114" s="19" t="s">
        <v>29</v>
      </c>
      <c r="F114" s="15">
        <v>3.3</v>
      </c>
      <c r="G114" s="15">
        <f t="shared" si="15"/>
        <v>198</v>
      </c>
      <c r="H114" s="16">
        <v>1.7</v>
      </c>
      <c r="I114" s="15">
        <f t="shared" si="16"/>
        <v>102</v>
      </c>
      <c r="J114" s="15">
        <f>H114*0.4</f>
        <v>0.68</v>
      </c>
      <c r="K114" s="15">
        <f t="shared" si="18"/>
        <v>40.8</v>
      </c>
      <c r="L114" s="15">
        <f>F114*D114+H114*D114+J114*D114</f>
        <v>340.8</v>
      </c>
    </row>
    <row r="115" customHeight="1" spans="1:12">
      <c r="A115" s="13" t="s">
        <v>54</v>
      </c>
      <c r="B115" s="13" t="s">
        <v>63</v>
      </c>
      <c r="C115" s="13" t="s">
        <v>25</v>
      </c>
      <c r="D115" s="20">
        <v>60</v>
      </c>
      <c r="E115" s="19" t="s">
        <v>64</v>
      </c>
      <c r="F115" s="15">
        <v>2.2</v>
      </c>
      <c r="G115" s="15">
        <f t="shared" si="15"/>
        <v>132</v>
      </c>
      <c r="H115" s="16">
        <v>1.7</v>
      </c>
      <c r="I115" s="15">
        <f t="shared" si="16"/>
        <v>102</v>
      </c>
      <c r="J115" s="15">
        <f>H115*0.4</f>
        <v>0.68</v>
      </c>
      <c r="K115" s="15">
        <f t="shared" si="18"/>
        <v>40.8</v>
      </c>
      <c r="L115" s="15">
        <f>F115*D115+H115*D115+J115*D115</f>
        <v>274.8</v>
      </c>
    </row>
    <row r="116" customHeight="1" spans="1:12">
      <c r="A116" s="17" t="s">
        <v>47</v>
      </c>
      <c r="B116" s="17"/>
      <c r="C116" s="17"/>
      <c r="D116" s="17"/>
      <c r="E116" s="19"/>
      <c r="F116" s="15"/>
      <c r="G116" s="15">
        <f>SUM(G111:G115)</f>
        <v>1595</v>
      </c>
      <c r="H116" s="15"/>
      <c r="I116" s="15">
        <f>SUM(I111:I115)</f>
        <v>3188</v>
      </c>
      <c r="J116" s="15"/>
      <c r="K116" s="15">
        <f>SUM(K111:K115)</f>
        <v>1275.2</v>
      </c>
      <c r="L116" s="15">
        <f>SUM(L111:L115)</f>
        <v>6058.2</v>
      </c>
    </row>
    <row r="117" customHeight="1" spans="1:12">
      <c r="A117" s="9" t="s">
        <v>158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27"/>
    </row>
    <row r="118" customHeight="1" spans="1:12">
      <c r="A118" s="11" t="s">
        <v>7</v>
      </c>
      <c r="B118" s="11" t="s">
        <v>8</v>
      </c>
      <c r="C118" s="11" t="s">
        <v>9</v>
      </c>
      <c r="D118" s="11" t="s">
        <v>10</v>
      </c>
      <c r="E118" s="11" t="s">
        <v>11</v>
      </c>
      <c r="F118" s="12" t="s">
        <v>12</v>
      </c>
      <c r="G118" s="12" t="s">
        <v>13</v>
      </c>
      <c r="H118" s="12" t="s">
        <v>14</v>
      </c>
      <c r="I118" s="12" t="s">
        <v>15</v>
      </c>
      <c r="J118" s="12" t="s">
        <v>16</v>
      </c>
      <c r="K118" s="12" t="s">
        <v>17</v>
      </c>
      <c r="L118" s="12" t="s">
        <v>18</v>
      </c>
    </row>
    <row r="119" customHeight="1" spans="1:12">
      <c r="A119" s="25" t="s">
        <v>119</v>
      </c>
      <c r="B119" s="25" t="s">
        <v>159</v>
      </c>
      <c r="C119" s="25" t="s">
        <v>21</v>
      </c>
      <c r="D119" s="25">
        <v>2</v>
      </c>
      <c r="E119" s="19" t="s">
        <v>160</v>
      </c>
      <c r="F119" s="15">
        <v>357</v>
      </c>
      <c r="G119" s="15">
        <f t="shared" si="15"/>
        <v>714</v>
      </c>
      <c r="H119" s="15">
        <v>11</v>
      </c>
      <c r="I119" s="15">
        <f t="shared" si="16"/>
        <v>22</v>
      </c>
      <c r="J119" s="15">
        <f t="shared" ref="J119:J124" si="24">H119*0.4</f>
        <v>4.4</v>
      </c>
      <c r="K119" s="15">
        <f t="shared" si="18"/>
        <v>8.8</v>
      </c>
      <c r="L119" s="15">
        <f t="shared" ref="L119:L124" si="25">F119*D119+H119*D119+J119*D119</f>
        <v>744.8</v>
      </c>
    </row>
    <row r="120" customHeight="1" spans="1:12">
      <c r="A120" s="25" t="s">
        <v>161</v>
      </c>
      <c r="B120" s="25" t="s">
        <v>162</v>
      </c>
      <c r="C120" s="25" t="s">
        <v>32</v>
      </c>
      <c r="D120" s="25">
        <v>3</v>
      </c>
      <c r="E120" s="19" t="s">
        <v>163</v>
      </c>
      <c r="F120" s="15">
        <v>168</v>
      </c>
      <c r="G120" s="15">
        <f>F120*D120</f>
        <v>504</v>
      </c>
      <c r="H120" s="15">
        <v>17</v>
      </c>
      <c r="I120" s="15">
        <f>H120*D120</f>
        <v>51</v>
      </c>
      <c r="J120" s="15">
        <f>H120*0.4</f>
        <v>6.8</v>
      </c>
      <c r="K120" s="15">
        <f>J120*D120</f>
        <v>20.4</v>
      </c>
      <c r="L120" s="15">
        <f>F120*D120+H120*D120+J120*D120</f>
        <v>575.4</v>
      </c>
    </row>
    <row r="121" customHeight="1" spans="1:12">
      <c r="A121" s="13" t="s">
        <v>27</v>
      </c>
      <c r="B121" s="13" t="s">
        <v>28</v>
      </c>
      <c r="C121" s="13" t="s">
        <v>25</v>
      </c>
      <c r="D121" s="13">
        <v>110</v>
      </c>
      <c r="E121" s="19" t="s">
        <v>29</v>
      </c>
      <c r="F121" s="15">
        <v>3.3</v>
      </c>
      <c r="G121" s="15">
        <f t="shared" si="15"/>
        <v>363</v>
      </c>
      <c r="H121" s="16">
        <v>1.7</v>
      </c>
      <c r="I121" s="15">
        <f t="shared" si="16"/>
        <v>187</v>
      </c>
      <c r="J121" s="15">
        <f t="shared" si="24"/>
        <v>0.68</v>
      </c>
      <c r="K121" s="15">
        <f t="shared" si="18"/>
        <v>74.8</v>
      </c>
      <c r="L121" s="15">
        <f t="shared" si="25"/>
        <v>624.8</v>
      </c>
    </row>
    <row r="122" customHeight="1" spans="1:12">
      <c r="A122" s="13" t="s">
        <v>54</v>
      </c>
      <c r="B122" s="13" t="s">
        <v>63</v>
      </c>
      <c r="C122" s="13" t="s">
        <v>25</v>
      </c>
      <c r="D122" s="20">
        <v>280</v>
      </c>
      <c r="E122" s="19" t="s">
        <v>64</v>
      </c>
      <c r="F122" s="15">
        <v>2.2</v>
      </c>
      <c r="G122" s="15">
        <f t="shared" si="15"/>
        <v>616</v>
      </c>
      <c r="H122" s="16">
        <v>1.7</v>
      </c>
      <c r="I122" s="15">
        <f t="shared" si="16"/>
        <v>476</v>
      </c>
      <c r="J122" s="15">
        <f t="shared" si="24"/>
        <v>0.68</v>
      </c>
      <c r="K122" s="15">
        <f t="shared" si="18"/>
        <v>190.4</v>
      </c>
      <c r="L122" s="15">
        <f t="shared" si="25"/>
        <v>1282.4</v>
      </c>
    </row>
    <row r="123" customHeight="1" spans="1:12">
      <c r="A123" s="25" t="s">
        <v>116</v>
      </c>
      <c r="B123" s="25" t="s">
        <v>164</v>
      </c>
      <c r="C123" s="25" t="s">
        <v>39</v>
      </c>
      <c r="D123" s="25">
        <v>6</v>
      </c>
      <c r="E123" s="19" t="s">
        <v>129</v>
      </c>
      <c r="F123" s="15">
        <v>15</v>
      </c>
      <c r="G123" s="15">
        <f t="shared" si="15"/>
        <v>90</v>
      </c>
      <c r="H123" s="15">
        <v>56</v>
      </c>
      <c r="I123" s="15">
        <f t="shared" si="16"/>
        <v>336</v>
      </c>
      <c r="J123" s="15">
        <f t="shared" si="24"/>
        <v>22.4</v>
      </c>
      <c r="K123" s="15">
        <f t="shared" si="18"/>
        <v>134.4</v>
      </c>
      <c r="L123" s="15">
        <f t="shared" si="25"/>
        <v>560.4</v>
      </c>
    </row>
    <row r="124" customHeight="1" spans="1:12">
      <c r="A124" s="25" t="s">
        <v>139</v>
      </c>
      <c r="B124" s="25" t="s">
        <v>165</v>
      </c>
      <c r="C124" s="25" t="s">
        <v>52</v>
      </c>
      <c r="D124" s="25">
        <v>1</v>
      </c>
      <c r="E124" s="19" t="s">
        <v>141</v>
      </c>
      <c r="F124" s="15">
        <v>1632</v>
      </c>
      <c r="G124" s="15">
        <f t="shared" si="15"/>
        <v>1632</v>
      </c>
      <c r="H124" s="15">
        <v>11</v>
      </c>
      <c r="I124" s="15">
        <f t="shared" si="16"/>
        <v>11</v>
      </c>
      <c r="J124" s="15">
        <f t="shared" si="24"/>
        <v>4.4</v>
      </c>
      <c r="K124" s="15">
        <f t="shared" si="18"/>
        <v>4.4</v>
      </c>
      <c r="L124" s="15">
        <f t="shared" si="25"/>
        <v>1647.4</v>
      </c>
    </row>
    <row r="125" customHeight="1" spans="1:12">
      <c r="A125" s="17" t="s">
        <v>47</v>
      </c>
      <c r="B125" s="17"/>
      <c r="C125" s="17"/>
      <c r="D125" s="17"/>
      <c r="E125" s="19"/>
      <c r="F125" s="15"/>
      <c r="G125" s="15">
        <f>SUM(G119:G124)</f>
        <v>3919</v>
      </c>
      <c r="H125" s="15"/>
      <c r="I125" s="15">
        <f>SUM(I119:I124)</f>
        <v>1083</v>
      </c>
      <c r="J125" s="15"/>
      <c r="K125" s="15">
        <f>SUM(K119:K124)</f>
        <v>433.2</v>
      </c>
      <c r="L125" s="15">
        <f>SUM(L119:L124)</f>
        <v>5435.2</v>
      </c>
    </row>
    <row r="126" customHeight="1" spans="1:12">
      <c r="A126" s="9" t="s">
        <v>166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27"/>
    </row>
    <row r="127" customHeight="1" spans="1:12">
      <c r="A127" s="11" t="s">
        <v>7</v>
      </c>
      <c r="B127" s="11" t="s">
        <v>8</v>
      </c>
      <c r="C127" s="11" t="s">
        <v>9</v>
      </c>
      <c r="D127" s="11" t="s">
        <v>10</v>
      </c>
      <c r="E127" s="11" t="s">
        <v>11</v>
      </c>
      <c r="F127" s="12" t="s">
        <v>12</v>
      </c>
      <c r="G127" s="12" t="s">
        <v>13</v>
      </c>
      <c r="H127" s="12" t="s">
        <v>14</v>
      </c>
      <c r="I127" s="12" t="s">
        <v>15</v>
      </c>
      <c r="J127" s="12" t="s">
        <v>16</v>
      </c>
      <c r="K127" s="12" t="s">
        <v>17</v>
      </c>
      <c r="L127" s="12" t="s">
        <v>18</v>
      </c>
    </row>
    <row r="128" customHeight="1" spans="1:12">
      <c r="A128" s="25" t="s">
        <v>167</v>
      </c>
      <c r="B128" s="25" t="s">
        <v>168</v>
      </c>
      <c r="C128" s="25" t="s">
        <v>21</v>
      </c>
      <c r="D128" s="25">
        <v>2</v>
      </c>
      <c r="E128" s="19" t="s">
        <v>169</v>
      </c>
      <c r="F128" s="15">
        <v>227</v>
      </c>
      <c r="G128" s="15">
        <f t="shared" si="15"/>
        <v>454</v>
      </c>
      <c r="H128" s="15">
        <v>146</v>
      </c>
      <c r="I128" s="15">
        <f t="shared" si="16"/>
        <v>292</v>
      </c>
      <c r="J128" s="15">
        <f>H128*0.4</f>
        <v>58.4</v>
      </c>
      <c r="K128" s="15">
        <f t="shared" si="18"/>
        <v>116.8</v>
      </c>
      <c r="L128" s="15">
        <f>F128*D128+H128*D128+J128*D128</f>
        <v>862.8</v>
      </c>
    </row>
    <row r="129" customHeight="1" spans="1:12">
      <c r="A129" s="13" t="s">
        <v>27</v>
      </c>
      <c r="B129" s="13" t="s">
        <v>28</v>
      </c>
      <c r="C129" s="13" t="s">
        <v>25</v>
      </c>
      <c r="D129" s="13">
        <v>100</v>
      </c>
      <c r="E129" s="19" t="s">
        <v>29</v>
      </c>
      <c r="F129" s="15">
        <v>3.3</v>
      </c>
      <c r="G129" s="15">
        <f t="shared" si="15"/>
        <v>330</v>
      </c>
      <c r="H129" s="16">
        <v>1.7</v>
      </c>
      <c r="I129" s="15">
        <f t="shared" si="16"/>
        <v>170</v>
      </c>
      <c r="J129" s="15">
        <f>H129*0.4</f>
        <v>0.68</v>
      </c>
      <c r="K129" s="15">
        <f t="shared" si="18"/>
        <v>68</v>
      </c>
      <c r="L129" s="15">
        <f>F129*D129+H129*D129+J129*D129</f>
        <v>568</v>
      </c>
    </row>
    <row r="130" customHeight="1" spans="1:12">
      <c r="A130" s="13" t="s">
        <v>54</v>
      </c>
      <c r="B130" s="13" t="s">
        <v>63</v>
      </c>
      <c r="C130" s="13" t="s">
        <v>25</v>
      </c>
      <c r="D130" s="20">
        <v>200</v>
      </c>
      <c r="E130" s="19" t="s">
        <v>64</v>
      </c>
      <c r="F130" s="15">
        <v>2.2</v>
      </c>
      <c r="G130" s="15">
        <f t="shared" si="15"/>
        <v>440</v>
      </c>
      <c r="H130" s="16">
        <v>1.7</v>
      </c>
      <c r="I130" s="15">
        <f t="shared" si="16"/>
        <v>340</v>
      </c>
      <c r="J130" s="15">
        <f>H130*0.4</f>
        <v>0.68</v>
      </c>
      <c r="K130" s="15">
        <f t="shared" si="18"/>
        <v>136</v>
      </c>
      <c r="L130" s="15">
        <f>F130*D130+H130*D130+J130*D130</f>
        <v>916</v>
      </c>
    </row>
    <row r="131" customHeight="1" spans="1:12">
      <c r="A131" s="25" t="s">
        <v>113</v>
      </c>
      <c r="B131" s="25" t="s">
        <v>170</v>
      </c>
      <c r="C131" s="25" t="s">
        <v>39</v>
      </c>
      <c r="D131" s="25">
        <v>4</v>
      </c>
      <c r="E131" s="19" t="s">
        <v>171</v>
      </c>
      <c r="F131" s="15">
        <v>75</v>
      </c>
      <c r="G131" s="15">
        <f t="shared" si="15"/>
        <v>300</v>
      </c>
      <c r="H131" s="15">
        <v>39</v>
      </c>
      <c r="I131" s="15">
        <f t="shared" si="16"/>
        <v>156</v>
      </c>
      <c r="J131" s="15">
        <f>H131*0.4</f>
        <v>15.6</v>
      </c>
      <c r="K131" s="15">
        <f t="shared" si="18"/>
        <v>62.4</v>
      </c>
      <c r="L131" s="15">
        <f>F131*D131+H131*D131+J131*D131</f>
        <v>518.4</v>
      </c>
    </row>
    <row r="132" customHeight="1" spans="1:12">
      <c r="A132" s="13" t="s">
        <v>34</v>
      </c>
      <c r="B132" s="13" t="s">
        <v>96</v>
      </c>
      <c r="C132" s="13" t="s">
        <v>21</v>
      </c>
      <c r="D132" s="20">
        <v>2</v>
      </c>
      <c r="E132" s="14" t="s">
        <v>36</v>
      </c>
      <c r="F132" s="15">
        <v>357</v>
      </c>
      <c r="G132" s="15">
        <f t="shared" si="15"/>
        <v>714</v>
      </c>
      <c r="H132" s="15">
        <v>39</v>
      </c>
      <c r="I132" s="15">
        <f t="shared" si="16"/>
        <v>78</v>
      </c>
      <c r="J132" s="15">
        <f>H132*0.4</f>
        <v>15.6</v>
      </c>
      <c r="K132" s="15">
        <f t="shared" si="18"/>
        <v>31.2</v>
      </c>
      <c r="L132" s="15">
        <f>F132*D132+H132*D132+J132*D132</f>
        <v>823.2</v>
      </c>
    </row>
    <row r="133" customHeight="1" spans="1:12">
      <c r="A133" s="17" t="s">
        <v>47</v>
      </c>
      <c r="B133" s="17"/>
      <c r="C133" s="17"/>
      <c r="D133" s="17"/>
      <c r="E133" s="19"/>
      <c r="F133" s="15"/>
      <c r="G133" s="15">
        <f>SUM(G128:G132)</f>
        <v>2238</v>
      </c>
      <c r="H133" s="15"/>
      <c r="I133" s="15">
        <f>SUM(I128:I132)</f>
        <v>1036</v>
      </c>
      <c r="J133" s="15"/>
      <c r="K133" s="15">
        <f>SUM(K128:K132)</f>
        <v>414.4</v>
      </c>
      <c r="L133" s="15">
        <f>SUM(L128:L132)</f>
        <v>3688.4</v>
      </c>
    </row>
    <row r="134" customHeight="1" spans="1:12">
      <c r="A134" s="9" t="s">
        <v>172</v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27"/>
    </row>
    <row r="135" customHeight="1" spans="1:12">
      <c r="A135" s="11" t="s">
        <v>7</v>
      </c>
      <c r="B135" s="11" t="s">
        <v>8</v>
      </c>
      <c r="C135" s="11" t="s">
        <v>9</v>
      </c>
      <c r="D135" s="11" t="s">
        <v>10</v>
      </c>
      <c r="E135" s="11" t="s">
        <v>11</v>
      </c>
      <c r="F135" s="12" t="s">
        <v>12</v>
      </c>
      <c r="G135" s="12" t="s">
        <v>13</v>
      </c>
      <c r="H135" s="12" t="s">
        <v>14</v>
      </c>
      <c r="I135" s="12" t="s">
        <v>15</v>
      </c>
      <c r="J135" s="12" t="s">
        <v>16</v>
      </c>
      <c r="K135" s="12" t="s">
        <v>17</v>
      </c>
      <c r="L135" s="12" t="s">
        <v>18</v>
      </c>
    </row>
    <row r="136" customHeight="1" spans="1:12">
      <c r="A136" s="13" t="s">
        <v>27</v>
      </c>
      <c r="B136" s="13" t="s">
        <v>28</v>
      </c>
      <c r="C136" s="13" t="s">
        <v>25</v>
      </c>
      <c r="D136" s="13">
        <v>150</v>
      </c>
      <c r="E136" s="19" t="s">
        <v>29</v>
      </c>
      <c r="F136" s="15">
        <v>3.3</v>
      </c>
      <c r="G136" s="15">
        <f t="shared" ref="G134:G197" si="26">F136*D136</f>
        <v>495</v>
      </c>
      <c r="H136" s="16">
        <v>1.7</v>
      </c>
      <c r="I136" s="15">
        <f t="shared" ref="I134:I197" si="27">H136*D136</f>
        <v>255</v>
      </c>
      <c r="J136" s="15">
        <f t="shared" ref="J136:J141" si="28">H136*0.4</f>
        <v>0.68</v>
      </c>
      <c r="K136" s="15">
        <f t="shared" ref="K134:K197" si="29">J136*D136</f>
        <v>102</v>
      </c>
      <c r="L136" s="15">
        <f t="shared" ref="L136:L141" si="30">F136*D136+H136*D136+J136*D136</f>
        <v>852</v>
      </c>
    </row>
    <row r="137" customHeight="1" spans="1:12">
      <c r="A137" s="13" t="s">
        <v>54</v>
      </c>
      <c r="B137" s="13" t="s">
        <v>63</v>
      </c>
      <c r="C137" s="13" t="s">
        <v>25</v>
      </c>
      <c r="D137" s="20">
        <v>200</v>
      </c>
      <c r="E137" s="19" t="s">
        <v>64</v>
      </c>
      <c r="F137" s="15">
        <v>2.2</v>
      </c>
      <c r="G137" s="15">
        <f t="shared" si="26"/>
        <v>440</v>
      </c>
      <c r="H137" s="16">
        <v>1.7</v>
      </c>
      <c r="I137" s="15">
        <f t="shared" si="27"/>
        <v>340</v>
      </c>
      <c r="J137" s="15">
        <f t="shared" si="28"/>
        <v>0.68</v>
      </c>
      <c r="K137" s="15">
        <f t="shared" si="29"/>
        <v>136</v>
      </c>
      <c r="L137" s="15">
        <f t="shared" si="30"/>
        <v>916</v>
      </c>
    </row>
    <row r="138" customHeight="1" spans="1:12">
      <c r="A138" s="25" t="s">
        <v>89</v>
      </c>
      <c r="B138" s="25" t="s">
        <v>173</v>
      </c>
      <c r="C138" s="25" t="s">
        <v>39</v>
      </c>
      <c r="D138" s="25">
        <v>4</v>
      </c>
      <c r="E138" s="19" t="s">
        <v>84</v>
      </c>
      <c r="F138" s="15">
        <v>31</v>
      </c>
      <c r="G138" s="15">
        <f t="shared" si="26"/>
        <v>124</v>
      </c>
      <c r="H138" s="15">
        <v>11</v>
      </c>
      <c r="I138" s="15">
        <f t="shared" si="27"/>
        <v>44</v>
      </c>
      <c r="J138" s="15">
        <f t="shared" si="28"/>
        <v>4.4</v>
      </c>
      <c r="K138" s="15">
        <f t="shared" si="29"/>
        <v>17.6</v>
      </c>
      <c r="L138" s="15">
        <f t="shared" si="30"/>
        <v>185.6</v>
      </c>
    </row>
    <row r="139" customHeight="1" spans="1:12">
      <c r="A139" s="25" t="s">
        <v>174</v>
      </c>
      <c r="B139" s="25" t="s">
        <v>175</v>
      </c>
      <c r="C139" s="25" t="s">
        <v>21</v>
      </c>
      <c r="D139" s="25">
        <v>1</v>
      </c>
      <c r="E139" s="19" t="s">
        <v>176</v>
      </c>
      <c r="F139" s="15">
        <v>353</v>
      </c>
      <c r="G139" s="15">
        <f t="shared" si="26"/>
        <v>353</v>
      </c>
      <c r="H139" s="15">
        <v>39</v>
      </c>
      <c r="I139" s="15">
        <f t="shared" si="27"/>
        <v>39</v>
      </c>
      <c r="J139" s="15">
        <f t="shared" si="28"/>
        <v>15.6</v>
      </c>
      <c r="K139" s="15">
        <f t="shared" si="29"/>
        <v>15.6</v>
      </c>
      <c r="L139" s="15">
        <f t="shared" si="30"/>
        <v>407.6</v>
      </c>
    </row>
    <row r="140" customHeight="1" spans="1:12">
      <c r="A140" s="25" t="s">
        <v>161</v>
      </c>
      <c r="B140" s="25" t="s">
        <v>177</v>
      </c>
      <c r="C140" s="25" t="s">
        <v>32</v>
      </c>
      <c r="D140" s="25">
        <v>3</v>
      </c>
      <c r="E140" s="19" t="s">
        <v>178</v>
      </c>
      <c r="F140" s="15">
        <v>81</v>
      </c>
      <c r="G140" s="15">
        <f t="shared" si="26"/>
        <v>243</v>
      </c>
      <c r="H140" s="15">
        <v>17</v>
      </c>
      <c r="I140" s="15">
        <f t="shared" si="27"/>
        <v>51</v>
      </c>
      <c r="J140" s="15">
        <f t="shared" si="28"/>
        <v>6.8</v>
      </c>
      <c r="K140" s="15">
        <f t="shared" si="29"/>
        <v>20.4</v>
      </c>
      <c r="L140" s="15">
        <f t="shared" si="30"/>
        <v>314.4</v>
      </c>
    </row>
    <row r="141" customHeight="1" spans="1:12">
      <c r="A141" s="13" t="s">
        <v>30</v>
      </c>
      <c r="B141" s="13" t="s">
        <v>31</v>
      </c>
      <c r="C141" s="13" t="s">
        <v>32</v>
      </c>
      <c r="D141" s="13">
        <v>3</v>
      </c>
      <c r="E141" s="14" t="s">
        <v>33</v>
      </c>
      <c r="F141" s="15">
        <f>10+10</f>
        <v>20</v>
      </c>
      <c r="G141" s="15">
        <f t="shared" si="26"/>
        <v>60</v>
      </c>
      <c r="H141" s="15">
        <v>56</v>
      </c>
      <c r="I141" s="15">
        <f t="shared" si="27"/>
        <v>168</v>
      </c>
      <c r="J141" s="15">
        <f t="shared" si="28"/>
        <v>22.4</v>
      </c>
      <c r="K141" s="15">
        <f t="shared" si="29"/>
        <v>67.2</v>
      </c>
      <c r="L141" s="15">
        <f t="shared" si="30"/>
        <v>295.2</v>
      </c>
    </row>
    <row r="142" customHeight="1" spans="1:12">
      <c r="A142" s="17" t="s">
        <v>47</v>
      </c>
      <c r="B142" s="17"/>
      <c r="C142" s="17"/>
      <c r="D142" s="17"/>
      <c r="E142" s="19"/>
      <c r="F142" s="15"/>
      <c r="G142" s="15">
        <f>SUM(G136:G141)</f>
        <v>1715</v>
      </c>
      <c r="H142" s="15"/>
      <c r="I142" s="15">
        <f>SUM(I136:I141)</f>
        <v>897</v>
      </c>
      <c r="J142" s="15"/>
      <c r="K142" s="15">
        <f>SUM(K136:K141)</f>
        <v>358.8</v>
      </c>
      <c r="L142" s="15">
        <f>SUM(L136:L141)</f>
        <v>2970.8</v>
      </c>
    </row>
    <row r="143" customHeight="1" spans="1:12">
      <c r="A143" s="9" t="s">
        <v>179</v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27"/>
    </row>
    <row r="144" customHeight="1" spans="1:12">
      <c r="A144" s="11" t="s">
        <v>7</v>
      </c>
      <c r="B144" s="11" t="s">
        <v>8</v>
      </c>
      <c r="C144" s="11" t="s">
        <v>9</v>
      </c>
      <c r="D144" s="11" t="s">
        <v>10</v>
      </c>
      <c r="E144" s="11" t="s">
        <v>11</v>
      </c>
      <c r="F144" s="12" t="s">
        <v>12</v>
      </c>
      <c r="G144" s="12" t="s">
        <v>13</v>
      </c>
      <c r="H144" s="12" t="s">
        <v>14</v>
      </c>
      <c r="I144" s="12" t="s">
        <v>15</v>
      </c>
      <c r="J144" s="12" t="s">
        <v>16</v>
      </c>
      <c r="K144" s="12" t="s">
        <v>17</v>
      </c>
      <c r="L144" s="12" t="s">
        <v>18</v>
      </c>
    </row>
    <row r="145" customHeight="1" spans="1:12">
      <c r="A145" s="13" t="s">
        <v>27</v>
      </c>
      <c r="B145" s="13" t="s">
        <v>28</v>
      </c>
      <c r="C145" s="13" t="s">
        <v>25</v>
      </c>
      <c r="D145" s="13">
        <v>200</v>
      </c>
      <c r="E145" s="19" t="s">
        <v>29</v>
      </c>
      <c r="F145" s="15">
        <v>3.3</v>
      </c>
      <c r="G145" s="15">
        <f t="shared" si="26"/>
        <v>660</v>
      </c>
      <c r="H145" s="16">
        <v>1.7</v>
      </c>
      <c r="I145" s="15">
        <f t="shared" si="27"/>
        <v>340</v>
      </c>
      <c r="J145" s="15">
        <f t="shared" ref="J145:J153" si="31">H145*0.4</f>
        <v>0.68</v>
      </c>
      <c r="K145" s="15">
        <f t="shared" si="29"/>
        <v>136</v>
      </c>
      <c r="L145" s="15">
        <f t="shared" ref="L145:L153" si="32">F145*D145+H145*D145+J145*D145</f>
        <v>1136</v>
      </c>
    </row>
    <row r="146" customHeight="1" spans="1:12">
      <c r="A146" s="13" t="s">
        <v>54</v>
      </c>
      <c r="B146" s="13" t="s">
        <v>63</v>
      </c>
      <c r="C146" s="13" t="s">
        <v>25</v>
      </c>
      <c r="D146" s="20">
        <v>300</v>
      </c>
      <c r="E146" s="19" t="s">
        <v>64</v>
      </c>
      <c r="F146" s="15">
        <v>2.2</v>
      </c>
      <c r="G146" s="15">
        <f t="shared" si="26"/>
        <v>660</v>
      </c>
      <c r="H146" s="16">
        <v>1.7</v>
      </c>
      <c r="I146" s="15">
        <f t="shared" si="27"/>
        <v>510</v>
      </c>
      <c r="J146" s="15">
        <f t="shared" si="31"/>
        <v>0.68</v>
      </c>
      <c r="K146" s="15">
        <f t="shared" si="29"/>
        <v>204</v>
      </c>
      <c r="L146" s="15">
        <f t="shared" si="32"/>
        <v>1374</v>
      </c>
    </row>
    <row r="147" customHeight="1" spans="1:12">
      <c r="A147" s="25" t="s">
        <v>167</v>
      </c>
      <c r="B147" s="25" t="s">
        <v>168</v>
      </c>
      <c r="C147" s="25" t="s">
        <v>21</v>
      </c>
      <c r="D147" s="25">
        <v>2</v>
      </c>
      <c r="E147" s="19" t="s">
        <v>169</v>
      </c>
      <c r="F147" s="15">
        <v>227</v>
      </c>
      <c r="G147" s="15">
        <f t="shared" si="26"/>
        <v>454</v>
      </c>
      <c r="H147" s="15">
        <v>146</v>
      </c>
      <c r="I147" s="15">
        <f t="shared" si="27"/>
        <v>292</v>
      </c>
      <c r="J147" s="15">
        <f t="shared" si="31"/>
        <v>58.4</v>
      </c>
      <c r="K147" s="15">
        <f t="shared" si="29"/>
        <v>116.8</v>
      </c>
      <c r="L147" s="15">
        <f t="shared" si="32"/>
        <v>862.8</v>
      </c>
    </row>
    <row r="148" customHeight="1" spans="1:12">
      <c r="A148" s="13" t="s">
        <v>34</v>
      </c>
      <c r="B148" s="13" t="s">
        <v>79</v>
      </c>
      <c r="C148" s="13" t="s">
        <v>21</v>
      </c>
      <c r="D148" s="20">
        <v>1</v>
      </c>
      <c r="E148" s="14" t="s">
        <v>180</v>
      </c>
      <c r="F148" s="15">
        <v>1077</v>
      </c>
      <c r="G148" s="15">
        <f t="shared" si="26"/>
        <v>1077</v>
      </c>
      <c r="H148" s="15">
        <v>39</v>
      </c>
      <c r="I148" s="15">
        <f t="shared" si="27"/>
        <v>39</v>
      </c>
      <c r="J148" s="15">
        <f t="shared" si="31"/>
        <v>15.6</v>
      </c>
      <c r="K148" s="15">
        <f t="shared" si="29"/>
        <v>15.6</v>
      </c>
      <c r="L148" s="15">
        <f t="shared" si="32"/>
        <v>1131.6</v>
      </c>
    </row>
    <row r="149" customHeight="1" spans="1:12">
      <c r="A149" s="13" t="s">
        <v>34</v>
      </c>
      <c r="B149" s="13" t="s">
        <v>96</v>
      </c>
      <c r="C149" s="13" t="s">
        <v>21</v>
      </c>
      <c r="D149" s="20">
        <v>3</v>
      </c>
      <c r="E149" s="14" t="s">
        <v>36</v>
      </c>
      <c r="F149" s="15">
        <v>357</v>
      </c>
      <c r="G149" s="15">
        <f t="shared" si="26"/>
        <v>1071</v>
      </c>
      <c r="H149" s="15">
        <v>39</v>
      </c>
      <c r="I149" s="15">
        <f t="shared" si="27"/>
        <v>117</v>
      </c>
      <c r="J149" s="15">
        <f t="shared" si="31"/>
        <v>15.6</v>
      </c>
      <c r="K149" s="15">
        <f t="shared" si="29"/>
        <v>46.8</v>
      </c>
      <c r="L149" s="15">
        <f t="shared" si="32"/>
        <v>1234.8</v>
      </c>
    </row>
    <row r="150" customHeight="1" spans="1:12">
      <c r="A150" s="25" t="s">
        <v>89</v>
      </c>
      <c r="B150" s="25" t="s">
        <v>173</v>
      </c>
      <c r="C150" s="25" t="s">
        <v>39</v>
      </c>
      <c r="D150" s="25">
        <v>4</v>
      </c>
      <c r="E150" s="19" t="s">
        <v>84</v>
      </c>
      <c r="F150" s="15">
        <v>15</v>
      </c>
      <c r="G150" s="15">
        <f t="shared" si="26"/>
        <v>60</v>
      </c>
      <c r="H150" s="15">
        <v>11</v>
      </c>
      <c r="I150" s="15">
        <f t="shared" si="27"/>
        <v>44</v>
      </c>
      <c r="J150" s="15">
        <f t="shared" si="31"/>
        <v>4.4</v>
      </c>
      <c r="K150" s="15">
        <f t="shared" si="29"/>
        <v>17.6</v>
      </c>
      <c r="L150" s="15">
        <f t="shared" si="32"/>
        <v>121.6</v>
      </c>
    </row>
    <row r="151" customHeight="1" spans="1:12">
      <c r="A151" s="25" t="s">
        <v>92</v>
      </c>
      <c r="B151" s="25" t="s">
        <v>93</v>
      </c>
      <c r="C151" s="25" t="s">
        <v>94</v>
      </c>
      <c r="D151" s="25">
        <v>3</v>
      </c>
      <c r="E151" s="19" t="s">
        <v>95</v>
      </c>
      <c r="F151" s="15">
        <v>136</v>
      </c>
      <c r="G151" s="15">
        <f t="shared" si="26"/>
        <v>408</v>
      </c>
      <c r="H151" s="15">
        <v>17</v>
      </c>
      <c r="I151" s="15">
        <f t="shared" si="27"/>
        <v>51</v>
      </c>
      <c r="J151" s="15">
        <f t="shared" si="31"/>
        <v>6.8</v>
      </c>
      <c r="K151" s="15">
        <f t="shared" si="29"/>
        <v>20.4</v>
      </c>
      <c r="L151" s="15">
        <f t="shared" si="32"/>
        <v>479.4</v>
      </c>
    </row>
    <row r="152" customHeight="1" spans="1:12">
      <c r="A152" s="25" t="s">
        <v>116</v>
      </c>
      <c r="B152" s="25" t="s">
        <v>181</v>
      </c>
      <c r="C152" s="25" t="s">
        <v>39</v>
      </c>
      <c r="D152" s="25">
        <v>3</v>
      </c>
      <c r="E152" s="19" t="s">
        <v>182</v>
      </c>
      <c r="F152" s="15">
        <v>15</v>
      </c>
      <c r="G152" s="15">
        <f t="shared" si="26"/>
        <v>45</v>
      </c>
      <c r="H152" s="15">
        <v>56</v>
      </c>
      <c r="I152" s="15">
        <f t="shared" si="27"/>
        <v>168</v>
      </c>
      <c r="J152" s="15">
        <f t="shared" si="31"/>
        <v>22.4</v>
      </c>
      <c r="K152" s="15">
        <f t="shared" si="29"/>
        <v>67.2</v>
      </c>
      <c r="L152" s="15">
        <f t="shared" si="32"/>
        <v>280.2</v>
      </c>
    </row>
    <row r="153" customHeight="1" spans="1:12">
      <c r="A153" s="13" t="s">
        <v>50</v>
      </c>
      <c r="B153" s="13" t="s">
        <v>51</v>
      </c>
      <c r="C153" s="13" t="s">
        <v>52</v>
      </c>
      <c r="D153" s="13">
        <v>2</v>
      </c>
      <c r="E153" s="19" t="s">
        <v>53</v>
      </c>
      <c r="F153" s="15">
        <v>1631</v>
      </c>
      <c r="G153" s="15">
        <f t="shared" si="26"/>
        <v>3262</v>
      </c>
      <c r="H153" s="15">
        <v>11</v>
      </c>
      <c r="I153" s="15">
        <f t="shared" si="27"/>
        <v>22</v>
      </c>
      <c r="J153" s="15">
        <f t="shared" si="31"/>
        <v>4.4</v>
      </c>
      <c r="K153" s="15">
        <f t="shared" si="29"/>
        <v>8.8</v>
      </c>
      <c r="L153" s="15">
        <f t="shared" si="32"/>
        <v>3292.8</v>
      </c>
    </row>
    <row r="154" customHeight="1" spans="1:12">
      <c r="A154" s="17" t="s">
        <v>47</v>
      </c>
      <c r="B154" s="17"/>
      <c r="C154" s="17"/>
      <c r="D154" s="17"/>
      <c r="E154" s="19"/>
      <c r="F154" s="15"/>
      <c r="G154" s="15">
        <f>SUM(G145:G153)</f>
        <v>7697</v>
      </c>
      <c r="H154" s="15"/>
      <c r="I154" s="15">
        <f>SUM(I145:I153)</f>
        <v>1583</v>
      </c>
      <c r="J154" s="15"/>
      <c r="K154" s="15">
        <f>SUM(K145:K153)</f>
        <v>633.2</v>
      </c>
      <c r="L154" s="15">
        <f>SUM(L145:L153)</f>
        <v>9913.2</v>
      </c>
    </row>
    <row r="155" customHeight="1" spans="1:12">
      <c r="A155" s="9" t="s">
        <v>183</v>
      </c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27"/>
    </row>
    <row r="156" customHeight="1" spans="1:12">
      <c r="A156" s="11" t="s">
        <v>7</v>
      </c>
      <c r="B156" s="11" t="s">
        <v>8</v>
      </c>
      <c r="C156" s="11" t="s">
        <v>9</v>
      </c>
      <c r="D156" s="11" t="s">
        <v>10</v>
      </c>
      <c r="E156" s="11" t="s">
        <v>11</v>
      </c>
      <c r="F156" s="12" t="s">
        <v>12</v>
      </c>
      <c r="G156" s="12" t="s">
        <v>13</v>
      </c>
      <c r="H156" s="12" t="s">
        <v>14</v>
      </c>
      <c r="I156" s="12" t="s">
        <v>15</v>
      </c>
      <c r="J156" s="12" t="s">
        <v>16</v>
      </c>
      <c r="K156" s="12" t="s">
        <v>17</v>
      </c>
      <c r="L156" s="12" t="s">
        <v>18</v>
      </c>
    </row>
    <row r="157" customHeight="1" spans="1:12">
      <c r="A157" s="25" t="s">
        <v>174</v>
      </c>
      <c r="B157" s="25" t="s">
        <v>184</v>
      </c>
      <c r="C157" s="25" t="s">
        <v>21</v>
      </c>
      <c r="D157" s="25">
        <v>2</v>
      </c>
      <c r="E157" s="19" t="s">
        <v>185</v>
      </c>
      <c r="F157" s="15">
        <v>148</v>
      </c>
      <c r="G157" s="15">
        <f t="shared" si="26"/>
        <v>296</v>
      </c>
      <c r="H157" s="15">
        <v>39</v>
      </c>
      <c r="I157" s="15">
        <f t="shared" si="27"/>
        <v>78</v>
      </c>
      <c r="J157" s="15">
        <f t="shared" ref="J157:J162" si="33">H157*0.4</f>
        <v>15.6</v>
      </c>
      <c r="K157" s="15">
        <f t="shared" si="29"/>
        <v>31.2</v>
      </c>
      <c r="L157" s="15">
        <f t="shared" ref="L157:L162" si="34">F157*D157+H157*D157+J157*D157</f>
        <v>405.2</v>
      </c>
    </row>
    <row r="158" customHeight="1" spans="1:12">
      <c r="A158" s="25" t="s">
        <v>139</v>
      </c>
      <c r="B158" s="25" t="s">
        <v>165</v>
      </c>
      <c r="C158" s="25" t="s">
        <v>52</v>
      </c>
      <c r="D158" s="25">
        <v>2</v>
      </c>
      <c r="E158" s="19" t="s">
        <v>141</v>
      </c>
      <c r="F158" s="15">
        <v>1631</v>
      </c>
      <c r="G158" s="15">
        <f t="shared" si="26"/>
        <v>3262</v>
      </c>
      <c r="H158" s="15">
        <v>11</v>
      </c>
      <c r="I158" s="15">
        <f t="shared" si="27"/>
        <v>22</v>
      </c>
      <c r="J158" s="15">
        <f t="shared" si="33"/>
        <v>4.4</v>
      </c>
      <c r="K158" s="15">
        <f t="shared" si="29"/>
        <v>8.8</v>
      </c>
      <c r="L158" s="15">
        <f t="shared" si="34"/>
        <v>3292.8</v>
      </c>
    </row>
    <row r="159" customHeight="1" spans="1:12">
      <c r="A159" s="25" t="s">
        <v>113</v>
      </c>
      <c r="B159" s="25" t="s">
        <v>186</v>
      </c>
      <c r="C159" s="25" t="s">
        <v>39</v>
      </c>
      <c r="D159" s="25">
        <v>2</v>
      </c>
      <c r="E159" s="19" t="s">
        <v>72</v>
      </c>
      <c r="F159" s="15">
        <v>75</v>
      </c>
      <c r="G159" s="15">
        <f t="shared" si="26"/>
        <v>150</v>
      </c>
      <c r="H159" s="15">
        <v>39</v>
      </c>
      <c r="I159" s="15">
        <f t="shared" si="27"/>
        <v>78</v>
      </c>
      <c r="J159" s="15">
        <f t="shared" si="33"/>
        <v>15.6</v>
      </c>
      <c r="K159" s="15">
        <f t="shared" si="29"/>
        <v>31.2</v>
      </c>
      <c r="L159" s="15">
        <f t="shared" si="34"/>
        <v>259.2</v>
      </c>
    </row>
    <row r="160" customHeight="1" spans="1:12">
      <c r="A160" s="13" t="s">
        <v>27</v>
      </c>
      <c r="B160" s="13" t="s">
        <v>28</v>
      </c>
      <c r="C160" s="13" t="s">
        <v>25</v>
      </c>
      <c r="D160" s="13">
        <v>100</v>
      </c>
      <c r="E160" s="19" t="s">
        <v>29</v>
      </c>
      <c r="F160" s="15">
        <v>3.3</v>
      </c>
      <c r="G160" s="15">
        <f t="shared" si="26"/>
        <v>330</v>
      </c>
      <c r="H160" s="16">
        <v>1.7</v>
      </c>
      <c r="I160" s="15">
        <f t="shared" si="27"/>
        <v>170</v>
      </c>
      <c r="J160" s="15">
        <f t="shared" si="33"/>
        <v>0.68</v>
      </c>
      <c r="K160" s="15">
        <f t="shared" si="29"/>
        <v>68</v>
      </c>
      <c r="L160" s="15">
        <f t="shared" si="34"/>
        <v>568</v>
      </c>
    </row>
    <row r="161" customHeight="1" spans="1:12">
      <c r="A161" s="13" t="s">
        <v>54</v>
      </c>
      <c r="B161" s="13" t="s">
        <v>63</v>
      </c>
      <c r="C161" s="13" t="s">
        <v>25</v>
      </c>
      <c r="D161" s="20">
        <v>130</v>
      </c>
      <c r="E161" s="19" t="s">
        <v>64</v>
      </c>
      <c r="F161" s="15">
        <v>2.2</v>
      </c>
      <c r="G161" s="15">
        <f t="shared" si="26"/>
        <v>286</v>
      </c>
      <c r="H161" s="16">
        <v>1.7</v>
      </c>
      <c r="I161" s="15">
        <f t="shared" si="27"/>
        <v>221</v>
      </c>
      <c r="J161" s="15">
        <f t="shared" si="33"/>
        <v>0.68</v>
      </c>
      <c r="K161" s="15">
        <f t="shared" si="29"/>
        <v>88.4</v>
      </c>
      <c r="L161" s="15">
        <f t="shared" si="34"/>
        <v>595.4</v>
      </c>
    </row>
    <row r="162" customHeight="1" spans="1:12">
      <c r="A162" s="25" t="s">
        <v>145</v>
      </c>
      <c r="B162" s="25" t="s">
        <v>187</v>
      </c>
      <c r="C162" s="25" t="s">
        <v>39</v>
      </c>
      <c r="D162" s="25">
        <v>3</v>
      </c>
      <c r="E162" s="19" t="s">
        <v>188</v>
      </c>
      <c r="F162" s="15">
        <v>41</v>
      </c>
      <c r="G162" s="15">
        <f t="shared" si="26"/>
        <v>123</v>
      </c>
      <c r="H162" s="15">
        <v>11</v>
      </c>
      <c r="I162" s="15">
        <f t="shared" si="27"/>
        <v>33</v>
      </c>
      <c r="J162" s="15">
        <f t="shared" si="33"/>
        <v>4.4</v>
      </c>
      <c r="K162" s="15">
        <f t="shared" si="29"/>
        <v>13.2</v>
      </c>
      <c r="L162" s="15">
        <f t="shared" si="34"/>
        <v>169.2</v>
      </c>
    </row>
    <row r="163" customHeight="1" spans="1:12">
      <c r="A163" s="17" t="s">
        <v>47</v>
      </c>
      <c r="B163" s="17"/>
      <c r="C163" s="17"/>
      <c r="D163" s="17"/>
      <c r="E163" s="19"/>
      <c r="F163" s="15"/>
      <c r="G163" s="15">
        <f>SUM(G157:G162)</f>
        <v>4447</v>
      </c>
      <c r="H163" s="15"/>
      <c r="I163" s="15">
        <f>SUM(I157:I162)</f>
        <v>602</v>
      </c>
      <c r="J163" s="15"/>
      <c r="K163" s="15">
        <f>SUM(K157:K162)</f>
        <v>240.8</v>
      </c>
      <c r="L163" s="15">
        <f>SUM(L157:L162)</f>
        <v>5289.8</v>
      </c>
    </row>
    <row r="164" customHeight="1" spans="1:12">
      <c r="A164" s="9" t="s">
        <v>189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27"/>
    </row>
    <row r="165" customHeight="1" spans="1:12">
      <c r="A165" s="11" t="s">
        <v>7</v>
      </c>
      <c r="B165" s="11" t="s">
        <v>8</v>
      </c>
      <c r="C165" s="11" t="s">
        <v>9</v>
      </c>
      <c r="D165" s="11" t="s">
        <v>10</v>
      </c>
      <c r="E165" s="11" t="s">
        <v>11</v>
      </c>
      <c r="F165" s="12" t="s">
        <v>12</v>
      </c>
      <c r="G165" s="12" t="s">
        <v>13</v>
      </c>
      <c r="H165" s="12" t="s">
        <v>14</v>
      </c>
      <c r="I165" s="12" t="s">
        <v>15</v>
      </c>
      <c r="J165" s="12" t="s">
        <v>16</v>
      </c>
      <c r="K165" s="12" t="s">
        <v>17</v>
      </c>
      <c r="L165" s="12" t="s">
        <v>18</v>
      </c>
    </row>
    <row r="166" s="1" customFormat="1" customHeight="1" spans="1:12">
      <c r="A166" s="25" t="s">
        <v>98</v>
      </c>
      <c r="B166" s="25" t="s">
        <v>190</v>
      </c>
      <c r="C166" s="25" t="s">
        <v>100</v>
      </c>
      <c r="D166" s="25">
        <v>4</v>
      </c>
      <c r="E166" s="19" t="s">
        <v>191</v>
      </c>
      <c r="F166" s="15">
        <v>0</v>
      </c>
      <c r="G166" s="15">
        <f t="shared" si="26"/>
        <v>0</v>
      </c>
      <c r="H166" s="15">
        <v>787</v>
      </c>
      <c r="I166" s="15">
        <f t="shared" si="27"/>
        <v>3148</v>
      </c>
      <c r="J166" s="15">
        <f t="shared" ref="J163:J180" si="35">H166*0.4</f>
        <v>314.8</v>
      </c>
      <c r="K166" s="15">
        <f t="shared" si="29"/>
        <v>1259.2</v>
      </c>
      <c r="L166" s="15">
        <f t="shared" ref="L163:L180" si="36">F166*D166+H166*D166+J166*D166</f>
        <v>4407.2</v>
      </c>
    </row>
    <row r="167" customHeight="1" spans="1:12">
      <c r="A167" s="25" t="s">
        <v>192</v>
      </c>
      <c r="B167" s="25" t="s">
        <v>193</v>
      </c>
      <c r="C167" s="25" t="s">
        <v>21</v>
      </c>
      <c r="D167" s="25">
        <v>2</v>
      </c>
      <c r="E167" s="19" t="s">
        <v>194</v>
      </c>
      <c r="F167" s="15">
        <v>356</v>
      </c>
      <c r="G167" s="15">
        <f t="shared" si="26"/>
        <v>712</v>
      </c>
      <c r="H167" s="15">
        <v>39</v>
      </c>
      <c r="I167" s="15">
        <f t="shared" si="27"/>
        <v>78</v>
      </c>
      <c r="J167" s="15">
        <f t="shared" si="35"/>
        <v>15.6</v>
      </c>
      <c r="K167" s="15">
        <f t="shared" si="29"/>
        <v>31.2</v>
      </c>
      <c r="L167" s="15">
        <f t="shared" si="36"/>
        <v>821.2</v>
      </c>
    </row>
    <row r="168" customHeight="1" spans="1:12">
      <c r="A168" s="13" t="s">
        <v>27</v>
      </c>
      <c r="B168" s="13" t="s">
        <v>28</v>
      </c>
      <c r="C168" s="13" t="s">
        <v>25</v>
      </c>
      <c r="D168" s="13">
        <v>80</v>
      </c>
      <c r="E168" s="19" t="s">
        <v>29</v>
      </c>
      <c r="F168" s="15">
        <v>3.3</v>
      </c>
      <c r="G168" s="15">
        <f t="shared" si="26"/>
        <v>264</v>
      </c>
      <c r="H168" s="16">
        <v>1.7</v>
      </c>
      <c r="I168" s="15">
        <f t="shared" si="27"/>
        <v>136</v>
      </c>
      <c r="J168" s="15">
        <f t="shared" si="35"/>
        <v>0.68</v>
      </c>
      <c r="K168" s="15">
        <f t="shared" si="29"/>
        <v>54.4</v>
      </c>
      <c r="L168" s="15">
        <f t="shared" si="36"/>
        <v>454.4</v>
      </c>
    </row>
    <row r="169" customHeight="1" spans="1:12">
      <c r="A169" s="13" t="s">
        <v>54</v>
      </c>
      <c r="B169" s="13" t="s">
        <v>63</v>
      </c>
      <c r="C169" s="13" t="s">
        <v>25</v>
      </c>
      <c r="D169" s="20">
        <v>110</v>
      </c>
      <c r="E169" s="19" t="s">
        <v>64</v>
      </c>
      <c r="F169" s="15">
        <v>2.2</v>
      </c>
      <c r="G169" s="15">
        <f t="shared" si="26"/>
        <v>242</v>
      </c>
      <c r="H169" s="16">
        <v>1.7</v>
      </c>
      <c r="I169" s="15">
        <f t="shared" si="27"/>
        <v>187</v>
      </c>
      <c r="J169" s="15">
        <f t="shared" si="35"/>
        <v>0.68</v>
      </c>
      <c r="K169" s="15">
        <f t="shared" si="29"/>
        <v>74.8</v>
      </c>
      <c r="L169" s="15">
        <f t="shared" si="36"/>
        <v>503.8</v>
      </c>
    </row>
    <row r="170" s="1" customFormat="1" customHeight="1" spans="1:12">
      <c r="A170" s="25" t="s">
        <v>195</v>
      </c>
      <c r="B170" s="25" t="s">
        <v>196</v>
      </c>
      <c r="C170" s="25" t="s">
        <v>134</v>
      </c>
      <c r="D170" s="25">
        <v>1</v>
      </c>
      <c r="E170" s="19" t="s">
        <v>197</v>
      </c>
      <c r="F170" s="15">
        <v>0</v>
      </c>
      <c r="G170" s="15">
        <f t="shared" si="26"/>
        <v>0</v>
      </c>
      <c r="H170" s="15">
        <v>387</v>
      </c>
      <c r="I170" s="15">
        <f t="shared" si="27"/>
        <v>387</v>
      </c>
      <c r="J170" s="15">
        <f t="shared" si="35"/>
        <v>154.8</v>
      </c>
      <c r="K170" s="15">
        <f t="shared" si="29"/>
        <v>154.8</v>
      </c>
      <c r="L170" s="15">
        <f t="shared" si="36"/>
        <v>541.8</v>
      </c>
    </row>
    <row r="171" customHeight="1" spans="1:12">
      <c r="A171" s="25" t="s">
        <v>89</v>
      </c>
      <c r="B171" s="25" t="s">
        <v>198</v>
      </c>
      <c r="C171" s="25" t="s">
        <v>39</v>
      </c>
      <c r="D171" s="25">
        <v>6</v>
      </c>
      <c r="E171" s="19" t="s">
        <v>199</v>
      </c>
      <c r="F171" s="15">
        <v>15</v>
      </c>
      <c r="G171" s="15">
        <f t="shared" si="26"/>
        <v>90</v>
      </c>
      <c r="H171" s="15">
        <v>11</v>
      </c>
      <c r="I171" s="15">
        <f t="shared" si="27"/>
        <v>66</v>
      </c>
      <c r="J171" s="15">
        <f t="shared" si="35"/>
        <v>4.4</v>
      </c>
      <c r="K171" s="15">
        <f t="shared" si="29"/>
        <v>26.4</v>
      </c>
      <c r="L171" s="15">
        <f t="shared" si="36"/>
        <v>182.4</v>
      </c>
    </row>
    <row r="172" customHeight="1" spans="1:12">
      <c r="A172" s="25" t="s">
        <v>167</v>
      </c>
      <c r="B172" s="25" t="s">
        <v>168</v>
      </c>
      <c r="C172" s="25" t="s">
        <v>21</v>
      </c>
      <c r="D172" s="25">
        <v>1</v>
      </c>
      <c r="E172" s="19" t="s">
        <v>169</v>
      </c>
      <c r="F172" s="15">
        <v>227</v>
      </c>
      <c r="G172" s="15">
        <f t="shared" si="26"/>
        <v>227</v>
      </c>
      <c r="H172" s="15">
        <v>146</v>
      </c>
      <c r="I172" s="15">
        <f t="shared" si="27"/>
        <v>146</v>
      </c>
      <c r="J172" s="15">
        <f t="shared" si="35"/>
        <v>58.4</v>
      </c>
      <c r="K172" s="15">
        <f t="shared" si="29"/>
        <v>58.4</v>
      </c>
      <c r="L172" s="15">
        <f t="shared" si="36"/>
        <v>431.4</v>
      </c>
    </row>
    <row r="173" customHeight="1" spans="1:12">
      <c r="A173" s="17" t="s">
        <v>47</v>
      </c>
      <c r="B173" s="17"/>
      <c r="C173" s="17"/>
      <c r="D173" s="17"/>
      <c r="E173" s="19"/>
      <c r="F173" s="15"/>
      <c r="G173" s="15">
        <f>SUM(G166:G172)</f>
        <v>1535</v>
      </c>
      <c r="H173" s="15"/>
      <c r="I173" s="15">
        <f>SUM(I166:I172)</f>
        <v>4148</v>
      </c>
      <c r="J173" s="15"/>
      <c r="K173" s="15">
        <f>SUM(K166:K172)</f>
        <v>1659.2</v>
      </c>
      <c r="L173" s="15">
        <f>SUM(L166:L172)</f>
        <v>7342.2</v>
      </c>
    </row>
    <row r="174" customHeight="1" spans="1:12">
      <c r="A174" s="9" t="s">
        <v>200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27"/>
    </row>
    <row r="175" customHeight="1" spans="1:12">
      <c r="A175" s="11" t="s">
        <v>7</v>
      </c>
      <c r="B175" s="11" t="s">
        <v>8</v>
      </c>
      <c r="C175" s="11" t="s">
        <v>9</v>
      </c>
      <c r="D175" s="11" t="s">
        <v>10</v>
      </c>
      <c r="E175" s="11" t="s">
        <v>11</v>
      </c>
      <c r="F175" s="12" t="s">
        <v>12</v>
      </c>
      <c r="G175" s="12" t="s">
        <v>13</v>
      </c>
      <c r="H175" s="12" t="s">
        <v>14</v>
      </c>
      <c r="I175" s="12" t="s">
        <v>15</v>
      </c>
      <c r="J175" s="12" t="s">
        <v>16</v>
      </c>
      <c r="K175" s="12" t="s">
        <v>17</v>
      </c>
      <c r="L175" s="12" t="s">
        <v>18</v>
      </c>
    </row>
    <row r="176" customHeight="1" spans="1:12">
      <c r="A176" s="25" t="s">
        <v>201</v>
      </c>
      <c r="B176" s="25" t="s">
        <v>202</v>
      </c>
      <c r="C176" s="25" t="s">
        <v>21</v>
      </c>
      <c r="D176" s="25">
        <v>1</v>
      </c>
      <c r="E176" s="19" t="s">
        <v>203</v>
      </c>
      <c r="F176" s="15">
        <v>1078</v>
      </c>
      <c r="G176" s="15">
        <f t="shared" si="26"/>
        <v>1078</v>
      </c>
      <c r="H176" s="15">
        <v>257</v>
      </c>
      <c r="I176" s="15">
        <f t="shared" si="27"/>
        <v>257</v>
      </c>
      <c r="J176" s="15">
        <f t="shared" ref="J176:J181" si="37">H176*0.4</f>
        <v>102.8</v>
      </c>
      <c r="K176" s="15">
        <f t="shared" si="29"/>
        <v>102.8</v>
      </c>
      <c r="L176" s="15">
        <f t="shared" ref="L176:L181" si="38">F176*D176+H176*D176+J176*D176</f>
        <v>1437.8</v>
      </c>
    </row>
    <row r="177" customHeight="1" spans="1:12">
      <c r="A177" s="25" t="s">
        <v>103</v>
      </c>
      <c r="B177" s="25" t="s">
        <v>204</v>
      </c>
      <c r="C177" s="25" t="s">
        <v>32</v>
      </c>
      <c r="D177" s="25">
        <v>2</v>
      </c>
      <c r="E177" s="19" t="s">
        <v>205</v>
      </c>
      <c r="F177" s="15">
        <v>128</v>
      </c>
      <c r="G177" s="15">
        <f t="shared" si="26"/>
        <v>256</v>
      </c>
      <c r="H177" s="15">
        <v>112</v>
      </c>
      <c r="I177" s="15">
        <f t="shared" si="27"/>
        <v>224</v>
      </c>
      <c r="J177" s="15">
        <f t="shared" si="37"/>
        <v>44.8</v>
      </c>
      <c r="K177" s="15">
        <f t="shared" si="29"/>
        <v>89.6</v>
      </c>
      <c r="L177" s="15">
        <f t="shared" si="38"/>
        <v>569.6</v>
      </c>
    </row>
    <row r="178" customHeight="1" spans="1:12">
      <c r="A178" s="25" t="s">
        <v>89</v>
      </c>
      <c r="B178" s="25" t="s">
        <v>198</v>
      </c>
      <c r="C178" s="25" t="s">
        <v>39</v>
      </c>
      <c r="D178" s="25">
        <v>3</v>
      </c>
      <c r="E178" s="19" t="s">
        <v>199</v>
      </c>
      <c r="F178" s="15">
        <v>15</v>
      </c>
      <c r="G178" s="15">
        <f t="shared" si="26"/>
        <v>45</v>
      </c>
      <c r="H178" s="15">
        <v>11</v>
      </c>
      <c r="I178" s="15">
        <f t="shared" si="27"/>
        <v>33</v>
      </c>
      <c r="J178" s="15">
        <f t="shared" si="37"/>
        <v>4.4</v>
      </c>
      <c r="K178" s="15">
        <f t="shared" si="29"/>
        <v>13.2</v>
      </c>
      <c r="L178" s="15">
        <f t="shared" si="38"/>
        <v>91.2</v>
      </c>
    </row>
    <row r="179" customHeight="1" spans="1:12">
      <c r="A179" s="13" t="s">
        <v>27</v>
      </c>
      <c r="B179" s="13" t="s">
        <v>28</v>
      </c>
      <c r="C179" s="13" t="s">
        <v>25</v>
      </c>
      <c r="D179" s="13">
        <v>100</v>
      </c>
      <c r="E179" s="19" t="s">
        <v>29</v>
      </c>
      <c r="F179" s="15">
        <v>3.3</v>
      </c>
      <c r="G179" s="15">
        <f t="shared" si="26"/>
        <v>330</v>
      </c>
      <c r="H179" s="16">
        <v>1.7</v>
      </c>
      <c r="I179" s="15">
        <f t="shared" si="27"/>
        <v>170</v>
      </c>
      <c r="J179" s="15">
        <f t="shared" si="37"/>
        <v>0.68</v>
      </c>
      <c r="K179" s="15">
        <f t="shared" si="29"/>
        <v>68</v>
      </c>
      <c r="L179" s="15">
        <f t="shared" si="38"/>
        <v>568</v>
      </c>
    </row>
    <row r="180" customHeight="1" spans="1:12">
      <c r="A180" s="13" t="s">
        <v>54</v>
      </c>
      <c r="B180" s="13" t="s">
        <v>63</v>
      </c>
      <c r="C180" s="13" t="s">
        <v>25</v>
      </c>
      <c r="D180" s="20">
        <v>110</v>
      </c>
      <c r="E180" s="19" t="s">
        <v>64</v>
      </c>
      <c r="F180" s="15">
        <v>2.2</v>
      </c>
      <c r="G180" s="15">
        <f t="shared" si="26"/>
        <v>242</v>
      </c>
      <c r="H180" s="16">
        <v>1.7</v>
      </c>
      <c r="I180" s="15">
        <f t="shared" si="27"/>
        <v>187</v>
      </c>
      <c r="J180" s="15">
        <f t="shared" si="37"/>
        <v>0.68</v>
      </c>
      <c r="K180" s="15">
        <f t="shared" si="29"/>
        <v>74.8</v>
      </c>
      <c r="L180" s="15">
        <f t="shared" si="38"/>
        <v>503.8</v>
      </c>
    </row>
    <row r="181" customHeight="1" spans="1:12">
      <c r="A181" s="25" t="s">
        <v>116</v>
      </c>
      <c r="B181" s="25" t="s">
        <v>181</v>
      </c>
      <c r="C181" s="25" t="s">
        <v>39</v>
      </c>
      <c r="D181" s="25">
        <v>3</v>
      </c>
      <c r="E181" s="19" t="s">
        <v>182</v>
      </c>
      <c r="F181" s="15">
        <v>15</v>
      </c>
      <c r="G181" s="15">
        <f t="shared" si="26"/>
        <v>45</v>
      </c>
      <c r="H181" s="15">
        <v>56</v>
      </c>
      <c r="I181" s="15">
        <f t="shared" si="27"/>
        <v>168</v>
      </c>
      <c r="J181" s="15">
        <f t="shared" si="37"/>
        <v>22.4</v>
      </c>
      <c r="K181" s="15">
        <f t="shared" si="29"/>
        <v>67.2</v>
      </c>
      <c r="L181" s="15">
        <f t="shared" si="38"/>
        <v>280.2</v>
      </c>
    </row>
    <row r="182" customHeight="1" spans="1:12">
      <c r="A182" s="17" t="s">
        <v>47</v>
      </c>
      <c r="B182" s="17"/>
      <c r="C182" s="17"/>
      <c r="D182" s="17"/>
      <c r="E182" s="19"/>
      <c r="F182" s="15"/>
      <c r="G182" s="15">
        <f>SUM(G176:G181)</f>
        <v>1996</v>
      </c>
      <c r="H182" s="15"/>
      <c r="I182" s="15">
        <f>SUM(I176:I181)</f>
        <v>1039</v>
      </c>
      <c r="J182" s="15"/>
      <c r="K182" s="15">
        <f>SUM(K176:K181)</f>
        <v>415.6</v>
      </c>
      <c r="L182" s="15">
        <f>SUM(L176:L181)</f>
        <v>3450.6</v>
      </c>
    </row>
    <row r="183" customHeight="1" spans="1:12">
      <c r="A183" s="9" t="s">
        <v>206</v>
      </c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27"/>
    </row>
    <row r="184" customHeight="1" spans="1:12">
      <c r="A184" s="11" t="s">
        <v>7</v>
      </c>
      <c r="B184" s="11" t="s">
        <v>8</v>
      </c>
      <c r="C184" s="11" t="s">
        <v>9</v>
      </c>
      <c r="D184" s="11" t="s">
        <v>10</v>
      </c>
      <c r="E184" s="11" t="s">
        <v>11</v>
      </c>
      <c r="F184" s="12" t="s">
        <v>12</v>
      </c>
      <c r="G184" s="12" t="s">
        <v>13</v>
      </c>
      <c r="H184" s="12" t="s">
        <v>14</v>
      </c>
      <c r="I184" s="12" t="s">
        <v>15</v>
      </c>
      <c r="J184" s="12" t="s">
        <v>16</v>
      </c>
      <c r="K184" s="12" t="s">
        <v>17</v>
      </c>
      <c r="L184" s="12" t="s">
        <v>18</v>
      </c>
    </row>
    <row r="185" customHeight="1" spans="1:12">
      <c r="A185" s="13" t="s">
        <v>27</v>
      </c>
      <c r="B185" s="13" t="s">
        <v>28</v>
      </c>
      <c r="C185" s="13" t="s">
        <v>25</v>
      </c>
      <c r="D185" s="13">
        <v>130</v>
      </c>
      <c r="E185" s="19" t="s">
        <v>29</v>
      </c>
      <c r="F185" s="15">
        <v>3.3</v>
      </c>
      <c r="G185" s="15">
        <f t="shared" si="26"/>
        <v>429</v>
      </c>
      <c r="H185" s="16">
        <v>1.7</v>
      </c>
      <c r="I185" s="15">
        <f t="shared" si="27"/>
        <v>221</v>
      </c>
      <c r="J185" s="15">
        <f t="shared" ref="J185:J191" si="39">H185*0.4</f>
        <v>0.68</v>
      </c>
      <c r="K185" s="15">
        <f t="shared" si="29"/>
        <v>88.4</v>
      </c>
      <c r="L185" s="15">
        <f t="shared" ref="L185:L191" si="40">F185*D185+H185*D185+J185*D185</f>
        <v>738.4</v>
      </c>
    </row>
    <row r="186" customHeight="1" spans="1:12">
      <c r="A186" s="13" t="s">
        <v>54</v>
      </c>
      <c r="B186" s="13" t="s">
        <v>63</v>
      </c>
      <c r="C186" s="13" t="s">
        <v>25</v>
      </c>
      <c r="D186" s="20">
        <v>250</v>
      </c>
      <c r="E186" s="19" t="s">
        <v>64</v>
      </c>
      <c r="F186" s="15">
        <v>2.2</v>
      </c>
      <c r="G186" s="15">
        <f t="shared" si="26"/>
        <v>550</v>
      </c>
      <c r="H186" s="16">
        <v>1.7</v>
      </c>
      <c r="I186" s="15">
        <f t="shared" si="27"/>
        <v>425</v>
      </c>
      <c r="J186" s="15">
        <f t="shared" si="39"/>
        <v>0.68</v>
      </c>
      <c r="K186" s="15">
        <f t="shared" si="29"/>
        <v>170</v>
      </c>
      <c r="L186" s="15">
        <f t="shared" si="40"/>
        <v>1145</v>
      </c>
    </row>
    <row r="187" customHeight="1" spans="1:12">
      <c r="A187" s="25" t="s">
        <v>113</v>
      </c>
      <c r="B187" s="25" t="s">
        <v>207</v>
      </c>
      <c r="C187" s="25" t="s">
        <v>39</v>
      </c>
      <c r="D187" s="25">
        <v>3</v>
      </c>
      <c r="E187" s="19" t="s">
        <v>208</v>
      </c>
      <c r="F187" s="15">
        <v>75</v>
      </c>
      <c r="G187" s="15">
        <f t="shared" si="26"/>
        <v>225</v>
      </c>
      <c r="H187" s="15">
        <v>39</v>
      </c>
      <c r="I187" s="15">
        <f t="shared" si="27"/>
        <v>117</v>
      </c>
      <c r="J187" s="15">
        <f t="shared" si="39"/>
        <v>15.6</v>
      </c>
      <c r="K187" s="15">
        <f t="shared" si="29"/>
        <v>46.8</v>
      </c>
      <c r="L187" s="15">
        <f t="shared" si="40"/>
        <v>388.8</v>
      </c>
    </row>
    <row r="188" customHeight="1" spans="1:12">
      <c r="A188" s="25" t="s">
        <v>209</v>
      </c>
      <c r="B188" s="25" t="s">
        <v>210</v>
      </c>
      <c r="C188" s="25" t="s">
        <v>21</v>
      </c>
      <c r="D188" s="25">
        <v>2</v>
      </c>
      <c r="E188" s="19" t="s">
        <v>211</v>
      </c>
      <c r="F188" s="15">
        <v>47</v>
      </c>
      <c r="G188" s="15">
        <f t="shared" si="26"/>
        <v>94</v>
      </c>
      <c r="H188" s="15">
        <v>11</v>
      </c>
      <c r="I188" s="15">
        <f t="shared" si="27"/>
        <v>22</v>
      </c>
      <c r="J188" s="15">
        <f t="shared" si="39"/>
        <v>4.4</v>
      </c>
      <c r="K188" s="15">
        <f t="shared" si="29"/>
        <v>8.8</v>
      </c>
      <c r="L188" s="15">
        <f t="shared" si="40"/>
        <v>124.8</v>
      </c>
    </row>
    <row r="189" customHeight="1" spans="1:12">
      <c r="A189" s="25" t="s">
        <v>124</v>
      </c>
      <c r="B189" s="25" t="s">
        <v>125</v>
      </c>
      <c r="C189" s="25" t="s">
        <v>21</v>
      </c>
      <c r="D189" s="25">
        <v>3</v>
      </c>
      <c r="E189" s="19" t="s">
        <v>126</v>
      </c>
      <c r="F189" s="15">
        <v>227</v>
      </c>
      <c r="G189" s="15">
        <f t="shared" si="26"/>
        <v>681</v>
      </c>
      <c r="H189" s="15">
        <v>146</v>
      </c>
      <c r="I189" s="15">
        <f t="shared" si="27"/>
        <v>438</v>
      </c>
      <c r="J189" s="15">
        <f t="shared" si="39"/>
        <v>58.4</v>
      </c>
      <c r="K189" s="15">
        <f t="shared" si="29"/>
        <v>175.2</v>
      </c>
      <c r="L189" s="15">
        <f t="shared" si="40"/>
        <v>1294.2</v>
      </c>
    </row>
    <row r="190" customHeight="1" spans="1:12">
      <c r="A190" s="25" t="s">
        <v>89</v>
      </c>
      <c r="B190" s="25" t="s">
        <v>173</v>
      </c>
      <c r="C190" s="25" t="s">
        <v>39</v>
      </c>
      <c r="D190" s="25">
        <v>4</v>
      </c>
      <c r="E190" s="19" t="s">
        <v>84</v>
      </c>
      <c r="F190" s="15">
        <v>15</v>
      </c>
      <c r="G190" s="15">
        <f t="shared" si="26"/>
        <v>60</v>
      </c>
      <c r="H190" s="15">
        <v>11</v>
      </c>
      <c r="I190" s="15">
        <f t="shared" si="27"/>
        <v>44</v>
      </c>
      <c r="J190" s="15">
        <f t="shared" si="39"/>
        <v>4.4</v>
      </c>
      <c r="K190" s="15">
        <f t="shared" si="29"/>
        <v>17.6</v>
      </c>
      <c r="L190" s="15">
        <f t="shared" si="40"/>
        <v>121.6</v>
      </c>
    </row>
    <row r="191" customHeight="1" spans="1:12">
      <c r="A191" s="25" t="s">
        <v>92</v>
      </c>
      <c r="B191" s="25" t="s">
        <v>93</v>
      </c>
      <c r="C191" s="25" t="s">
        <v>94</v>
      </c>
      <c r="D191" s="25">
        <v>3</v>
      </c>
      <c r="E191" s="19" t="s">
        <v>95</v>
      </c>
      <c r="F191" s="15">
        <v>136</v>
      </c>
      <c r="G191" s="15">
        <f t="shared" si="26"/>
        <v>408</v>
      </c>
      <c r="H191" s="15">
        <v>17</v>
      </c>
      <c r="I191" s="15">
        <f t="shared" si="27"/>
        <v>51</v>
      </c>
      <c r="J191" s="15">
        <f t="shared" si="39"/>
        <v>6.8</v>
      </c>
      <c r="K191" s="15">
        <f t="shared" si="29"/>
        <v>20.4</v>
      </c>
      <c r="L191" s="15">
        <f t="shared" si="40"/>
        <v>479.4</v>
      </c>
    </row>
    <row r="192" customHeight="1" spans="1:12">
      <c r="A192" s="17" t="s">
        <v>47</v>
      </c>
      <c r="B192" s="17"/>
      <c r="C192" s="17"/>
      <c r="D192" s="17"/>
      <c r="E192" s="19"/>
      <c r="F192" s="15"/>
      <c r="G192" s="15">
        <f>SUM(G185:G191)</f>
        <v>2447</v>
      </c>
      <c r="H192" s="15"/>
      <c r="I192" s="15">
        <f>SUM(I185:I191)</f>
        <v>1318</v>
      </c>
      <c r="J192" s="15"/>
      <c r="K192" s="15">
        <f>SUM(K185:K191)</f>
        <v>527.2</v>
      </c>
      <c r="L192" s="15">
        <f>SUM(L185:L191)</f>
        <v>4292.2</v>
      </c>
    </row>
    <row r="193" customHeight="1" spans="1:12">
      <c r="A193" s="9" t="s">
        <v>212</v>
      </c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27"/>
    </row>
    <row r="194" customHeight="1" spans="1:12">
      <c r="A194" s="11" t="s">
        <v>7</v>
      </c>
      <c r="B194" s="11" t="s">
        <v>8</v>
      </c>
      <c r="C194" s="11" t="s">
        <v>9</v>
      </c>
      <c r="D194" s="11" t="s">
        <v>10</v>
      </c>
      <c r="E194" s="11" t="s">
        <v>11</v>
      </c>
      <c r="F194" s="12" t="s">
        <v>12</v>
      </c>
      <c r="G194" s="12" t="s">
        <v>13</v>
      </c>
      <c r="H194" s="12" t="s">
        <v>14</v>
      </c>
      <c r="I194" s="12" t="s">
        <v>15</v>
      </c>
      <c r="J194" s="12" t="s">
        <v>16</v>
      </c>
      <c r="K194" s="12" t="s">
        <v>17</v>
      </c>
      <c r="L194" s="12" t="s">
        <v>18</v>
      </c>
    </row>
    <row r="195" customHeight="1" spans="1:12">
      <c r="A195" s="25" t="s">
        <v>124</v>
      </c>
      <c r="B195" s="25" t="s">
        <v>125</v>
      </c>
      <c r="C195" s="25" t="s">
        <v>21</v>
      </c>
      <c r="D195" s="25">
        <v>1</v>
      </c>
      <c r="E195" s="19" t="s">
        <v>126</v>
      </c>
      <c r="F195" s="15">
        <v>227</v>
      </c>
      <c r="G195" s="15">
        <f t="shared" si="26"/>
        <v>227</v>
      </c>
      <c r="H195" s="15">
        <v>146</v>
      </c>
      <c r="I195" s="15">
        <f t="shared" si="27"/>
        <v>146</v>
      </c>
      <c r="J195" s="15">
        <f t="shared" ref="J195:J202" si="41">H195*0.4</f>
        <v>58.4</v>
      </c>
      <c r="K195" s="15">
        <f t="shared" si="29"/>
        <v>58.4</v>
      </c>
      <c r="L195" s="15">
        <f t="shared" ref="L195:L202" si="42">F195*D195+H195*D195+J195*D195</f>
        <v>431.4</v>
      </c>
    </row>
    <row r="196" customHeight="1" spans="1:12">
      <c r="A196" s="13" t="s">
        <v>27</v>
      </c>
      <c r="B196" s="13" t="s">
        <v>28</v>
      </c>
      <c r="C196" s="13" t="s">
        <v>25</v>
      </c>
      <c r="D196" s="13">
        <v>130</v>
      </c>
      <c r="E196" s="19" t="s">
        <v>29</v>
      </c>
      <c r="F196" s="15">
        <v>3.3</v>
      </c>
      <c r="G196" s="15">
        <f t="shared" si="26"/>
        <v>429</v>
      </c>
      <c r="H196" s="16">
        <v>1.7</v>
      </c>
      <c r="I196" s="15">
        <f t="shared" si="27"/>
        <v>221</v>
      </c>
      <c r="J196" s="15">
        <f t="shared" si="41"/>
        <v>0.68</v>
      </c>
      <c r="K196" s="15">
        <f t="shared" si="29"/>
        <v>88.4</v>
      </c>
      <c r="L196" s="15">
        <f t="shared" si="42"/>
        <v>738.4</v>
      </c>
    </row>
    <row r="197" customHeight="1" spans="1:12">
      <c r="A197" s="13" t="s">
        <v>54</v>
      </c>
      <c r="B197" s="13" t="s">
        <v>63</v>
      </c>
      <c r="C197" s="13" t="s">
        <v>25</v>
      </c>
      <c r="D197" s="20">
        <v>250</v>
      </c>
      <c r="E197" s="19" t="s">
        <v>64</v>
      </c>
      <c r="F197" s="15">
        <v>2.2</v>
      </c>
      <c r="G197" s="15">
        <f t="shared" si="26"/>
        <v>550</v>
      </c>
      <c r="H197" s="16">
        <v>1.7</v>
      </c>
      <c r="I197" s="15">
        <f t="shared" si="27"/>
        <v>425</v>
      </c>
      <c r="J197" s="15">
        <f t="shared" si="41"/>
        <v>0.68</v>
      </c>
      <c r="K197" s="15">
        <f t="shared" si="29"/>
        <v>170</v>
      </c>
      <c r="L197" s="15">
        <f t="shared" si="42"/>
        <v>1145</v>
      </c>
    </row>
    <row r="198" customHeight="1" spans="1:12">
      <c r="A198" s="25" t="s">
        <v>145</v>
      </c>
      <c r="B198" s="25" t="s">
        <v>187</v>
      </c>
      <c r="C198" s="25" t="s">
        <v>39</v>
      </c>
      <c r="D198" s="25">
        <v>2</v>
      </c>
      <c r="E198" s="19" t="s">
        <v>188</v>
      </c>
      <c r="F198" s="15">
        <v>35</v>
      </c>
      <c r="G198" s="15">
        <f t="shared" ref="G198:G261" si="43">F198*D198</f>
        <v>70</v>
      </c>
      <c r="H198" s="15">
        <v>11</v>
      </c>
      <c r="I198" s="15">
        <f t="shared" ref="I198:I261" si="44">H198*D198</f>
        <v>22</v>
      </c>
      <c r="J198" s="15">
        <f t="shared" si="41"/>
        <v>4.4</v>
      </c>
      <c r="K198" s="15">
        <f t="shared" ref="K198:K261" si="45">J198*D198</f>
        <v>8.8</v>
      </c>
      <c r="L198" s="15">
        <f t="shared" si="42"/>
        <v>100.8</v>
      </c>
    </row>
    <row r="199" customHeight="1" spans="1:12">
      <c r="A199" s="25" t="s">
        <v>92</v>
      </c>
      <c r="B199" s="25" t="s">
        <v>93</v>
      </c>
      <c r="C199" s="25" t="s">
        <v>94</v>
      </c>
      <c r="D199" s="25">
        <v>2</v>
      </c>
      <c r="E199" s="19" t="s">
        <v>95</v>
      </c>
      <c r="F199" s="15">
        <v>136</v>
      </c>
      <c r="G199" s="15">
        <f t="shared" si="43"/>
        <v>272</v>
      </c>
      <c r="H199" s="15">
        <v>17</v>
      </c>
      <c r="I199" s="15">
        <f t="shared" si="44"/>
        <v>34</v>
      </c>
      <c r="J199" s="15">
        <f t="shared" si="41"/>
        <v>6.8</v>
      </c>
      <c r="K199" s="15">
        <f t="shared" si="45"/>
        <v>13.6</v>
      </c>
      <c r="L199" s="15">
        <f t="shared" si="42"/>
        <v>319.6</v>
      </c>
    </row>
    <row r="200" customHeight="1" spans="1:12">
      <c r="A200" s="25" t="s">
        <v>98</v>
      </c>
      <c r="B200" s="25" t="s">
        <v>213</v>
      </c>
      <c r="C200" s="25" t="s">
        <v>100</v>
      </c>
      <c r="D200" s="25">
        <v>1</v>
      </c>
      <c r="E200" s="19" t="s">
        <v>214</v>
      </c>
      <c r="F200" s="15">
        <v>0</v>
      </c>
      <c r="G200" s="15">
        <f t="shared" si="43"/>
        <v>0</v>
      </c>
      <c r="H200" s="15">
        <v>787</v>
      </c>
      <c r="I200" s="15">
        <f t="shared" si="44"/>
        <v>787</v>
      </c>
      <c r="J200" s="15">
        <f t="shared" si="41"/>
        <v>314.8</v>
      </c>
      <c r="K200" s="15">
        <f t="shared" si="45"/>
        <v>314.8</v>
      </c>
      <c r="L200" s="15">
        <f t="shared" si="42"/>
        <v>1101.8</v>
      </c>
    </row>
    <row r="201" customHeight="1" spans="1:12">
      <c r="A201" s="25" t="s">
        <v>174</v>
      </c>
      <c r="B201" s="25" t="s">
        <v>215</v>
      </c>
      <c r="C201" s="25" t="s">
        <v>21</v>
      </c>
      <c r="D201" s="25">
        <v>1</v>
      </c>
      <c r="E201" s="19" t="s">
        <v>216</v>
      </c>
      <c r="F201" s="15">
        <v>512</v>
      </c>
      <c r="G201" s="15">
        <f t="shared" si="43"/>
        <v>512</v>
      </c>
      <c r="H201" s="15">
        <v>39</v>
      </c>
      <c r="I201" s="15">
        <f t="shared" si="44"/>
        <v>39</v>
      </c>
      <c r="J201" s="15">
        <f t="shared" si="41"/>
        <v>15.6</v>
      </c>
      <c r="K201" s="15">
        <f t="shared" si="45"/>
        <v>15.6</v>
      </c>
      <c r="L201" s="15">
        <f t="shared" si="42"/>
        <v>566.6</v>
      </c>
    </row>
    <row r="202" customHeight="1" spans="1:12">
      <c r="A202" s="25" t="s">
        <v>89</v>
      </c>
      <c r="B202" s="25" t="s">
        <v>173</v>
      </c>
      <c r="C202" s="25" t="s">
        <v>39</v>
      </c>
      <c r="D202" s="25">
        <v>2</v>
      </c>
      <c r="E202" s="19" t="s">
        <v>84</v>
      </c>
      <c r="F202" s="15">
        <v>15</v>
      </c>
      <c r="G202" s="15">
        <f t="shared" si="43"/>
        <v>30</v>
      </c>
      <c r="H202" s="15">
        <v>11</v>
      </c>
      <c r="I202" s="15">
        <f t="shared" si="44"/>
        <v>22</v>
      </c>
      <c r="J202" s="15">
        <f t="shared" si="41"/>
        <v>4.4</v>
      </c>
      <c r="K202" s="15">
        <f t="shared" si="45"/>
        <v>8.8</v>
      </c>
      <c r="L202" s="15">
        <f t="shared" si="42"/>
        <v>60.8</v>
      </c>
    </row>
    <row r="203" customHeight="1" spans="1:12">
      <c r="A203" s="17" t="s">
        <v>47</v>
      </c>
      <c r="B203" s="17"/>
      <c r="C203" s="17"/>
      <c r="D203" s="17"/>
      <c r="E203" s="19"/>
      <c r="F203" s="15"/>
      <c r="G203" s="15">
        <f>SUM(G195:G202)</f>
        <v>2090</v>
      </c>
      <c r="H203" s="15"/>
      <c r="I203" s="15">
        <f>SUM(I195:I202)</f>
        <v>1696</v>
      </c>
      <c r="J203" s="15"/>
      <c r="K203" s="15">
        <f>SUM(K195:K202)</f>
        <v>678.4</v>
      </c>
      <c r="L203" s="15">
        <f>SUM(L195:L202)</f>
        <v>4464.4</v>
      </c>
    </row>
    <row r="204" customHeight="1" spans="1:12">
      <c r="A204" s="9" t="s">
        <v>217</v>
      </c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27"/>
    </row>
    <row r="205" customHeight="1" spans="1:12">
      <c r="A205" s="11" t="s">
        <v>7</v>
      </c>
      <c r="B205" s="11" t="s">
        <v>8</v>
      </c>
      <c r="C205" s="11" t="s">
        <v>9</v>
      </c>
      <c r="D205" s="11" t="s">
        <v>10</v>
      </c>
      <c r="E205" s="11" t="s">
        <v>11</v>
      </c>
      <c r="F205" s="12" t="s">
        <v>12</v>
      </c>
      <c r="G205" s="12" t="s">
        <v>13</v>
      </c>
      <c r="H205" s="12" t="s">
        <v>14</v>
      </c>
      <c r="I205" s="12" t="s">
        <v>15</v>
      </c>
      <c r="J205" s="12" t="s">
        <v>16</v>
      </c>
      <c r="K205" s="12" t="s">
        <v>17</v>
      </c>
      <c r="L205" s="12" t="s">
        <v>18</v>
      </c>
    </row>
    <row r="206" customHeight="1" spans="1:12">
      <c r="A206" s="25" t="s">
        <v>124</v>
      </c>
      <c r="B206" s="25" t="s">
        <v>125</v>
      </c>
      <c r="C206" s="25" t="s">
        <v>21</v>
      </c>
      <c r="D206" s="25">
        <v>4</v>
      </c>
      <c r="E206" s="19" t="s">
        <v>218</v>
      </c>
      <c r="F206" s="15">
        <v>227</v>
      </c>
      <c r="G206" s="15">
        <f t="shared" si="43"/>
        <v>908</v>
      </c>
      <c r="H206" s="15">
        <v>146</v>
      </c>
      <c r="I206" s="15">
        <f t="shared" si="44"/>
        <v>584</v>
      </c>
      <c r="J206" s="15">
        <f t="shared" ref="J206:J211" si="46">H206*0.4</f>
        <v>58.4</v>
      </c>
      <c r="K206" s="15">
        <f t="shared" si="45"/>
        <v>233.6</v>
      </c>
      <c r="L206" s="15">
        <f t="shared" ref="L206:L211" si="47">F206*D206+H206*D206+J206*D206</f>
        <v>1725.6</v>
      </c>
    </row>
    <row r="207" customHeight="1" spans="1:12">
      <c r="A207" s="25" t="s">
        <v>113</v>
      </c>
      <c r="B207" s="25" t="s">
        <v>219</v>
      </c>
      <c r="C207" s="25" t="s">
        <v>39</v>
      </c>
      <c r="D207" s="25">
        <v>2</v>
      </c>
      <c r="E207" s="19" t="s">
        <v>144</v>
      </c>
      <c r="F207" s="15">
        <v>75</v>
      </c>
      <c r="G207" s="15">
        <f t="shared" si="43"/>
        <v>150</v>
      </c>
      <c r="H207" s="15">
        <v>39</v>
      </c>
      <c r="I207" s="15">
        <f t="shared" si="44"/>
        <v>78</v>
      </c>
      <c r="J207" s="15">
        <f t="shared" si="46"/>
        <v>15.6</v>
      </c>
      <c r="K207" s="15">
        <f t="shared" si="45"/>
        <v>31.2</v>
      </c>
      <c r="L207" s="15">
        <f t="shared" si="47"/>
        <v>259.2</v>
      </c>
    </row>
    <row r="208" customHeight="1" spans="1:12">
      <c r="A208" s="25" t="s">
        <v>54</v>
      </c>
      <c r="B208" s="25" t="s">
        <v>220</v>
      </c>
      <c r="C208" s="25" t="s">
        <v>25</v>
      </c>
      <c r="D208" s="25">
        <v>100</v>
      </c>
      <c r="E208" s="19" t="s">
        <v>221</v>
      </c>
      <c r="F208" s="15">
        <v>2.2</v>
      </c>
      <c r="G208" s="15">
        <f t="shared" si="43"/>
        <v>220</v>
      </c>
      <c r="H208" s="16">
        <v>1.7</v>
      </c>
      <c r="I208" s="15">
        <f t="shared" si="44"/>
        <v>170</v>
      </c>
      <c r="J208" s="15">
        <f t="shared" si="46"/>
        <v>0.68</v>
      </c>
      <c r="K208" s="15">
        <f t="shared" si="45"/>
        <v>68</v>
      </c>
      <c r="L208" s="15">
        <f t="shared" si="47"/>
        <v>458</v>
      </c>
    </row>
    <row r="209" customHeight="1" spans="1:12">
      <c r="A209" s="25" t="s">
        <v>145</v>
      </c>
      <c r="B209" s="25" t="s">
        <v>222</v>
      </c>
      <c r="C209" s="25" t="s">
        <v>39</v>
      </c>
      <c r="D209" s="25">
        <v>3</v>
      </c>
      <c r="E209" s="19" t="s">
        <v>223</v>
      </c>
      <c r="F209" s="15">
        <v>35</v>
      </c>
      <c r="G209" s="15">
        <f t="shared" si="43"/>
        <v>105</v>
      </c>
      <c r="H209" s="15">
        <v>11</v>
      </c>
      <c r="I209" s="15">
        <f t="shared" si="44"/>
        <v>33</v>
      </c>
      <c r="J209" s="15">
        <f t="shared" si="46"/>
        <v>4.4</v>
      </c>
      <c r="K209" s="15">
        <f t="shared" si="45"/>
        <v>13.2</v>
      </c>
      <c r="L209" s="15">
        <f t="shared" si="47"/>
        <v>151.2</v>
      </c>
    </row>
    <row r="210" s="1" customFormat="1" customHeight="1" spans="1:12">
      <c r="A210" s="25" t="s">
        <v>98</v>
      </c>
      <c r="B210" s="25" t="s">
        <v>213</v>
      </c>
      <c r="C210" s="25" t="s">
        <v>100</v>
      </c>
      <c r="D210" s="25">
        <v>1</v>
      </c>
      <c r="E210" s="19" t="s">
        <v>224</v>
      </c>
      <c r="F210" s="15">
        <v>0</v>
      </c>
      <c r="G210" s="15">
        <f t="shared" si="43"/>
        <v>0</v>
      </c>
      <c r="H210" s="15">
        <v>787</v>
      </c>
      <c r="I210" s="15">
        <f t="shared" si="44"/>
        <v>787</v>
      </c>
      <c r="J210" s="15">
        <f t="shared" si="46"/>
        <v>314.8</v>
      </c>
      <c r="K210" s="15">
        <f t="shared" si="45"/>
        <v>314.8</v>
      </c>
      <c r="L210" s="15">
        <f t="shared" si="47"/>
        <v>1101.8</v>
      </c>
    </row>
    <row r="211" customHeight="1" spans="1:12">
      <c r="A211" s="25" t="s">
        <v>209</v>
      </c>
      <c r="B211" s="25" t="s">
        <v>210</v>
      </c>
      <c r="C211" s="25" t="s">
        <v>21</v>
      </c>
      <c r="D211" s="25">
        <v>1</v>
      </c>
      <c r="E211" s="19" t="s">
        <v>211</v>
      </c>
      <c r="F211" s="15">
        <v>47</v>
      </c>
      <c r="G211" s="15">
        <f t="shared" si="43"/>
        <v>47</v>
      </c>
      <c r="H211" s="15">
        <v>11</v>
      </c>
      <c r="I211" s="15">
        <f t="shared" si="44"/>
        <v>11</v>
      </c>
      <c r="J211" s="15">
        <f t="shared" si="46"/>
        <v>4.4</v>
      </c>
      <c r="K211" s="15">
        <f t="shared" si="45"/>
        <v>4.4</v>
      </c>
      <c r="L211" s="15">
        <f t="shared" si="47"/>
        <v>62.4</v>
      </c>
    </row>
    <row r="212" customHeight="1" spans="1:12">
      <c r="A212" s="17" t="s">
        <v>47</v>
      </c>
      <c r="B212" s="17"/>
      <c r="C212" s="17"/>
      <c r="D212" s="17"/>
      <c r="E212" s="19"/>
      <c r="F212" s="15"/>
      <c r="G212" s="15">
        <f>SUM(G206:G211)</f>
        <v>1430</v>
      </c>
      <c r="H212" s="15"/>
      <c r="I212" s="15">
        <f>SUM(I206:I211)</f>
        <v>1663</v>
      </c>
      <c r="J212" s="15"/>
      <c r="K212" s="15">
        <f>SUM(K206:K211)</f>
        <v>665.2</v>
      </c>
      <c r="L212" s="15">
        <f>SUM(L206:L211)</f>
        <v>3758.2</v>
      </c>
    </row>
    <row r="213" customHeight="1" spans="1:12">
      <c r="A213" s="9" t="s">
        <v>225</v>
      </c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27"/>
    </row>
    <row r="214" customHeight="1" spans="1:12">
      <c r="A214" s="11" t="s">
        <v>7</v>
      </c>
      <c r="B214" s="11" t="s">
        <v>8</v>
      </c>
      <c r="C214" s="11" t="s">
        <v>9</v>
      </c>
      <c r="D214" s="11" t="s">
        <v>10</v>
      </c>
      <c r="E214" s="11" t="s">
        <v>11</v>
      </c>
      <c r="F214" s="12" t="s">
        <v>12</v>
      </c>
      <c r="G214" s="12" t="s">
        <v>13</v>
      </c>
      <c r="H214" s="12" t="s">
        <v>14</v>
      </c>
      <c r="I214" s="12" t="s">
        <v>15</v>
      </c>
      <c r="J214" s="12" t="s">
        <v>16</v>
      </c>
      <c r="K214" s="12" t="s">
        <v>17</v>
      </c>
      <c r="L214" s="12" t="s">
        <v>18</v>
      </c>
    </row>
    <row r="215" customHeight="1" spans="1:12">
      <c r="A215" s="25" t="s">
        <v>89</v>
      </c>
      <c r="B215" s="25" t="s">
        <v>226</v>
      </c>
      <c r="C215" s="25" t="s">
        <v>39</v>
      </c>
      <c r="D215" s="25">
        <v>10</v>
      </c>
      <c r="E215" s="19" t="s">
        <v>227</v>
      </c>
      <c r="F215" s="15">
        <v>15</v>
      </c>
      <c r="G215" s="15">
        <f t="shared" si="43"/>
        <v>150</v>
      </c>
      <c r="H215" s="15">
        <v>11</v>
      </c>
      <c r="I215" s="15">
        <f t="shared" si="44"/>
        <v>110</v>
      </c>
      <c r="J215" s="15">
        <f t="shared" ref="J215:J221" si="48">H215*0.4</f>
        <v>4.4</v>
      </c>
      <c r="K215" s="15">
        <f t="shared" si="45"/>
        <v>44</v>
      </c>
      <c r="L215" s="15">
        <f t="shared" ref="L215:L221" si="49">F215*D215+H215*D215+J215*D215</f>
        <v>304</v>
      </c>
    </row>
    <row r="216" customHeight="1" spans="1:12">
      <c r="A216" s="25" t="s">
        <v>145</v>
      </c>
      <c r="B216" s="25" t="s">
        <v>228</v>
      </c>
      <c r="C216" s="25" t="s">
        <v>39</v>
      </c>
      <c r="D216" s="25">
        <v>6</v>
      </c>
      <c r="E216" s="19" t="s">
        <v>229</v>
      </c>
      <c r="F216" s="15">
        <v>27</v>
      </c>
      <c r="G216" s="15">
        <f t="shared" si="43"/>
        <v>162</v>
      </c>
      <c r="H216" s="15">
        <v>11</v>
      </c>
      <c r="I216" s="15">
        <f t="shared" si="44"/>
        <v>66</v>
      </c>
      <c r="J216" s="15">
        <f t="shared" si="48"/>
        <v>4.4</v>
      </c>
      <c r="K216" s="15">
        <f t="shared" si="45"/>
        <v>26.4</v>
      </c>
      <c r="L216" s="15">
        <f t="shared" si="49"/>
        <v>254.4</v>
      </c>
    </row>
    <row r="217" customHeight="1" spans="1:12">
      <c r="A217" s="13" t="s">
        <v>27</v>
      </c>
      <c r="B217" s="13" t="s">
        <v>28</v>
      </c>
      <c r="C217" s="13" t="s">
        <v>25</v>
      </c>
      <c r="D217" s="13">
        <v>100</v>
      </c>
      <c r="E217" s="19" t="s">
        <v>29</v>
      </c>
      <c r="F217" s="15">
        <v>3.3</v>
      </c>
      <c r="G217" s="15">
        <f t="shared" si="43"/>
        <v>330</v>
      </c>
      <c r="H217" s="16">
        <v>1.7</v>
      </c>
      <c r="I217" s="15">
        <f t="shared" si="44"/>
        <v>170</v>
      </c>
      <c r="J217" s="15">
        <f t="shared" si="48"/>
        <v>0.68</v>
      </c>
      <c r="K217" s="15">
        <f t="shared" si="45"/>
        <v>68</v>
      </c>
      <c r="L217" s="15">
        <f t="shared" si="49"/>
        <v>568</v>
      </c>
    </row>
    <row r="218" customHeight="1" spans="1:12">
      <c r="A218" s="13" t="s">
        <v>54</v>
      </c>
      <c r="B218" s="13" t="s">
        <v>63</v>
      </c>
      <c r="C218" s="13" t="s">
        <v>25</v>
      </c>
      <c r="D218" s="20">
        <v>200</v>
      </c>
      <c r="E218" s="19" t="s">
        <v>64</v>
      </c>
      <c r="F218" s="15">
        <v>2.2</v>
      </c>
      <c r="G218" s="15">
        <f t="shared" si="43"/>
        <v>440</v>
      </c>
      <c r="H218" s="16">
        <v>1.7</v>
      </c>
      <c r="I218" s="15">
        <f t="shared" si="44"/>
        <v>340</v>
      </c>
      <c r="J218" s="15">
        <f t="shared" si="48"/>
        <v>0.68</v>
      </c>
      <c r="K218" s="15">
        <f t="shared" si="45"/>
        <v>136</v>
      </c>
      <c r="L218" s="15">
        <f t="shared" si="49"/>
        <v>916</v>
      </c>
    </row>
    <row r="219" customHeight="1" spans="1:12">
      <c r="A219" s="25" t="s">
        <v>124</v>
      </c>
      <c r="B219" s="25" t="s">
        <v>125</v>
      </c>
      <c r="C219" s="25" t="s">
        <v>21</v>
      </c>
      <c r="D219" s="25">
        <v>3</v>
      </c>
      <c r="E219" s="19" t="s">
        <v>126</v>
      </c>
      <c r="F219" s="15">
        <v>227</v>
      </c>
      <c r="G219" s="15">
        <f t="shared" si="43"/>
        <v>681</v>
      </c>
      <c r="H219" s="15">
        <v>146</v>
      </c>
      <c r="I219" s="15">
        <f t="shared" si="44"/>
        <v>438</v>
      </c>
      <c r="J219" s="15">
        <f t="shared" si="48"/>
        <v>58.4</v>
      </c>
      <c r="K219" s="15">
        <f t="shared" si="45"/>
        <v>175.2</v>
      </c>
      <c r="L219" s="15">
        <f t="shared" si="49"/>
        <v>1294.2</v>
      </c>
    </row>
    <row r="220" customHeight="1" spans="1:12">
      <c r="A220" s="25" t="s">
        <v>116</v>
      </c>
      <c r="B220" s="25" t="s">
        <v>230</v>
      </c>
      <c r="C220" s="25" t="s">
        <v>39</v>
      </c>
      <c r="D220" s="25">
        <v>5</v>
      </c>
      <c r="E220" s="19" t="s">
        <v>129</v>
      </c>
      <c r="F220" s="15">
        <v>15</v>
      </c>
      <c r="G220" s="15">
        <f t="shared" si="43"/>
        <v>75</v>
      </c>
      <c r="H220" s="15">
        <v>56</v>
      </c>
      <c r="I220" s="15">
        <f t="shared" si="44"/>
        <v>280</v>
      </c>
      <c r="J220" s="15">
        <f t="shared" si="48"/>
        <v>22.4</v>
      </c>
      <c r="K220" s="15">
        <f t="shared" si="45"/>
        <v>112</v>
      </c>
      <c r="L220" s="15">
        <f t="shared" si="49"/>
        <v>467</v>
      </c>
    </row>
    <row r="221" customHeight="1" spans="1:12">
      <c r="A221" s="25" t="s">
        <v>89</v>
      </c>
      <c r="B221" s="25" t="s">
        <v>173</v>
      </c>
      <c r="C221" s="25" t="s">
        <v>39</v>
      </c>
      <c r="D221" s="25">
        <v>4</v>
      </c>
      <c r="E221" s="19" t="s">
        <v>84</v>
      </c>
      <c r="F221" s="15">
        <v>31</v>
      </c>
      <c r="G221" s="15">
        <f t="shared" si="43"/>
        <v>124</v>
      </c>
      <c r="H221" s="15">
        <v>11</v>
      </c>
      <c r="I221" s="15">
        <f t="shared" si="44"/>
        <v>44</v>
      </c>
      <c r="J221" s="15">
        <f t="shared" si="48"/>
        <v>4.4</v>
      </c>
      <c r="K221" s="15">
        <f t="shared" si="45"/>
        <v>17.6</v>
      </c>
      <c r="L221" s="15">
        <f t="shared" si="49"/>
        <v>185.6</v>
      </c>
    </row>
    <row r="222" customHeight="1" spans="1:12">
      <c r="A222" s="17" t="s">
        <v>47</v>
      </c>
      <c r="B222" s="17"/>
      <c r="C222" s="17"/>
      <c r="D222" s="17"/>
      <c r="E222" s="19"/>
      <c r="F222" s="15"/>
      <c r="G222" s="15">
        <f>SUM(G215:G221)</f>
        <v>1962</v>
      </c>
      <c r="H222" s="15"/>
      <c r="I222" s="15">
        <f>SUM(I215:I221)</f>
        <v>1448</v>
      </c>
      <c r="J222" s="15"/>
      <c r="K222" s="15">
        <f>SUM(K215:K221)</f>
        <v>579.2</v>
      </c>
      <c r="L222" s="15">
        <f>SUM(L215:L221)</f>
        <v>3989.2</v>
      </c>
    </row>
    <row r="223" customHeight="1" spans="1:12">
      <c r="A223" s="9" t="s">
        <v>231</v>
      </c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27"/>
    </row>
    <row r="224" customHeight="1" spans="1:12">
      <c r="A224" s="11" t="s">
        <v>7</v>
      </c>
      <c r="B224" s="11" t="s">
        <v>8</v>
      </c>
      <c r="C224" s="11" t="s">
        <v>9</v>
      </c>
      <c r="D224" s="11" t="s">
        <v>10</v>
      </c>
      <c r="E224" s="11" t="s">
        <v>11</v>
      </c>
      <c r="F224" s="12" t="s">
        <v>12</v>
      </c>
      <c r="G224" s="12" t="s">
        <v>13</v>
      </c>
      <c r="H224" s="12" t="s">
        <v>14</v>
      </c>
      <c r="I224" s="12" t="s">
        <v>15</v>
      </c>
      <c r="J224" s="12" t="s">
        <v>16</v>
      </c>
      <c r="K224" s="12" t="s">
        <v>17</v>
      </c>
      <c r="L224" s="12" t="s">
        <v>18</v>
      </c>
    </row>
    <row r="225" customHeight="1" spans="1:12">
      <c r="A225" s="13" t="s">
        <v>27</v>
      </c>
      <c r="B225" s="13" t="s">
        <v>28</v>
      </c>
      <c r="C225" s="13" t="s">
        <v>25</v>
      </c>
      <c r="D225" s="13">
        <v>180</v>
      </c>
      <c r="E225" s="19" t="s">
        <v>29</v>
      </c>
      <c r="F225" s="15">
        <v>3.3</v>
      </c>
      <c r="G225" s="15">
        <f t="shared" si="43"/>
        <v>594</v>
      </c>
      <c r="H225" s="16">
        <v>1.7</v>
      </c>
      <c r="I225" s="15">
        <f t="shared" si="44"/>
        <v>306</v>
      </c>
      <c r="J225" s="15">
        <f>H225*0.4</f>
        <v>0.68</v>
      </c>
      <c r="K225" s="15">
        <f t="shared" si="45"/>
        <v>122.4</v>
      </c>
      <c r="L225" s="15">
        <f>F225*D225+H225*D225+J225*D225</f>
        <v>1022.4</v>
      </c>
    </row>
    <row r="226" customHeight="1" spans="1:12">
      <c r="A226" s="13" t="s">
        <v>54</v>
      </c>
      <c r="B226" s="13" t="s">
        <v>63</v>
      </c>
      <c r="C226" s="13" t="s">
        <v>25</v>
      </c>
      <c r="D226" s="20">
        <v>200</v>
      </c>
      <c r="E226" s="19" t="s">
        <v>64</v>
      </c>
      <c r="F226" s="15">
        <v>2.2</v>
      </c>
      <c r="G226" s="15">
        <f t="shared" si="43"/>
        <v>440</v>
      </c>
      <c r="H226" s="16">
        <v>1.7</v>
      </c>
      <c r="I226" s="15">
        <f t="shared" si="44"/>
        <v>340</v>
      </c>
      <c r="J226" s="15">
        <f>H226*0.4</f>
        <v>0.68</v>
      </c>
      <c r="K226" s="15">
        <f t="shared" si="45"/>
        <v>136</v>
      </c>
      <c r="L226" s="15">
        <f>F226*D226+H226*D226+J226*D226</f>
        <v>916</v>
      </c>
    </row>
    <row r="227" customHeight="1" spans="1:12">
      <c r="A227" s="25" t="s">
        <v>89</v>
      </c>
      <c r="B227" s="25" t="s">
        <v>232</v>
      </c>
      <c r="C227" s="25" t="s">
        <v>39</v>
      </c>
      <c r="D227" s="25">
        <v>8</v>
      </c>
      <c r="E227" s="19" t="s">
        <v>233</v>
      </c>
      <c r="F227" s="15">
        <v>15</v>
      </c>
      <c r="G227" s="15">
        <f t="shared" si="43"/>
        <v>120</v>
      </c>
      <c r="H227" s="15">
        <v>11</v>
      </c>
      <c r="I227" s="15">
        <f t="shared" si="44"/>
        <v>88</v>
      </c>
      <c r="J227" s="15">
        <f>H227*0.4</f>
        <v>4.4</v>
      </c>
      <c r="K227" s="15">
        <f t="shared" si="45"/>
        <v>35.2</v>
      </c>
      <c r="L227" s="15">
        <f>F227*D227+H227*D227+J227*D227</f>
        <v>243.2</v>
      </c>
    </row>
    <row r="228" customHeight="1" spans="1:12">
      <c r="A228" s="25" t="s">
        <v>161</v>
      </c>
      <c r="B228" s="25" t="s">
        <v>177</v>
      </c>
      <c r="C228" s="25" t="s">
        <v>32</v>
      </c>
      <c r="D228" s="25">
        <v>4</v>
      </c>
      <c r="E228" s="19" t="s">
        <v>178</v>
      </c>
      <c r="F228" s="15">
        <v>81</v>
      </c>
      <c r="G228" s="15">
        <f t="shared" si="43"/>
        <v>324</v>
      </c>
      <c r="H228" s="15">
        <v>17</v>
      </c>
      <c r="I228" s="15">
        <f t="shared" si="44"/>
        <v>68</v>
      </c>
      <c r="J228" s="15">
        <f>H228*0.4</f>
        <v>6.8</v>
      </c>
      <c r="K228" s="15">
        <f t="shared" si="45"/>
        <v>27.2</v>
      </c>
      <c r="L228" s="15">
        <f>F228*D228+H228*D228+J228*D228</f>
        <v>419.2</v>
      </c>
    </row>
    <row r="229" customHeight="1" spans="1:12">
      <c r="A229" s="25" t="s">
        <v>119</v>
      </c>
      <c r="B229" s="25" t="s">
        <v>234</v>
      </c>
      <c r="C229" s="25" t="s">
        <v>21</v>
      </c>
      <c r="D229" s="25">
        <v>1</v>
      </c>
      <c r="E229" s="19" t="s">
        <v>235</v>
      </c>
      <c r="F229" s="15">
        <v>45</v>
      </c>
      <c r="G229" s="15">
        <f t="shared" si="43"/>
        <v>45</v>
      </c>
      <c r="H229" s="15">
        <v>11</v>
      </c>
      <c r="I229" s="15">
        <f t="shared" si="44"/>
        <v>11</v>
      </c>
      <c r="J229" s="15">
        <f>H229*0.4</f>
        <v>4.4</v>
      </c>
      <c r="K229" s="15">
        <f t="shared" si="45"/>
        <v>4.4</v>
      </c>
      <c r="L229" s="15">
        <f>F229*D229+H229*D229+J229*D229</f>
        <v>60.4</v>
      </c>
    </row>
    <row r="230" customHeight="1" spans="1:12">
      <c r="A230" s="17" t="s">
        <v>47</v>
      </c>
      <c r="B230" s="17"/>
      <c r="C230" s="17"/>
      <c r="D230" s="17"/>
      <c r="E230" s="19"/>
      <c r="F230" s="15"/>
      <c r="G230" s="15">
        <f>SUM(G225:G229)</f>
        <v>1523</v>
      </c>
      <c r="H230" s="15"/>
      <c r="I230" s="15">
        <v>831</v>
      </c>
      <c r="J230" s="15"/>
      <c r="K230" s="15">
        <f>SUM(K225:K229)</f>
        <v>325.2</v>
      </c>
      <c r="L230" s="15">
        <f>SUM(L225:L229)</f>
        <v>2661.2</v>
      </c>
    </row>
    <row r="231" customHeight="1" spans="1:12">
      <c r="A231" s="9" t="s">
        <v>236</v>
      </c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27"/>
    </row>
    <row r="232" customHeight="1" spans="1:12">
      <c r="A232" s="11" t="s">
        <v>7</v>
      </c>
      <c r="B232" s="11" t="s">
        <v>8</v>
      </c>
      <c r="C232" s="11" t="s">
        <v>9</v>
      </c>
      <c r="D232" s="11" t="s">
        <v>10</v>
      </c>
      <c r="E232" s="11" t="s">
        <v>11</v>
      </c>
      <c r="F232" s="12" t="s">
        <v>12</v>
      </c>
      <c r="G232" s="12" t="s">
        <v>13</v>
      </c>
      <c r="H232" s="12" t="s">
        <v>14</v>
      </c>
      <c r="I232" s="12" t="s">
        <v>15</v>
      </c>
      <c r="J232" s="12" t="s">
        <v>16</v>
      </c>
      <c r="K232" s="12" t="s">
        <v>17</v>
      </c>
      <c r="L232" s="12" t="s">
        <v>18</v>
      </c>
    </row>
    <row r="233" customHeight="1" spans="1:12">
      <c r="A233" s="25" t="s">
        <v>167</v>
      </c>
      <c r="B233" s="25" t="s">
        <v>168</v>
      </c>
      <c r="C233" s="25" t="s">
        <v>21</v>
      </c>
      <c r="D233" s="25">
        <v>2</v>
      </c>
      <c r="E233" s="19" t="s">
        <v>169</v>
      </c>
      <c r="F233" s="15">
        <v>227</v>
      </c>
      <c r="G233" s="15">
        <f t="shared" si="43"/>
        <v>454</v>
      </c>
      <c r="H233" s="15">
        <v>146</v>
      </c>
      <c r="I233" s="15">
        <f t="shared" si="44"/>
        <v>292</v>
      </c>
      <c r="J233" s="15">
        <f t="shared" ref="J233:J239" si="50">H233*0.4</f>
        <v>58.4</v>
      </c>
      <c r="K233" s="15">
        <f t="shared" si="45"/>
        <v>116.8</v>
      </c>
      <c r="L233" s="15">
        <f t="shared" ref="L233:L239" si="51">F233*D233+H233*D233+J233*D233</f>
        <v>862.8</v>
      </c>
    </row>
    <row r="234" customHeight="1" spans="1:12">
      <c r="A234" s="13" t="s">
        <v>34</v>
      </c>
      <c r="B234" s="13" t="s">
        <v>237</v>
      </c>
      <c r="C234" s="13" t="s">
        <v>21</v>
      </c>
      <c r="D234" s="20">
        <v>1</v>
      </c>
      <c r="E234" s="14" t="s">
        <v>180</v>
      </c>
      <c r="F234" s="15">
        <v>807</v>
      </c>
      <c r="G234" s="15">
        <f t="shared" si="43"/>
        <v>807</v>
      </c>
      <c r="H234" s="15">
        <v>39</v>
      </c>
      <c r="I234" s="15">
        <f t="shared" si="44"/>
        <v>39</v>
      </c>
      <c r="J234" s="15">
        <f t="shared" si="50"/>
        <v>15.6</v>
      </c>
      <c r="K234" s="15">
        <f t="shared" si="45"/>
        <v>15.6</v>
      </c>
      <c r="L234" s="15">
        <f t="shared" si="51"/>
        <v>861.6</v>
      </c>
    </row>
    <row r="235" customHeight="1" spans="1:12">
      <c r="A235" s="13" t="s">
        <v>34</v>
      </c>
      <c r="B235" s="13" t="s">
        <v>96</v>
      </c>
      <c r="C235" s="13" t="s">
        <v>21</v>
      </c>
      <c r="D235" s="20">
        <v>2</v>
      </c>
      <c r="E235" s="14" t="s">
        <v>36</v>
      </c>
      <c r="F235" s="15">
        <v>357</v>
      </c>
      <c r="G235" s="15">
        <f t="shared" si="43"/>
        <v>714</v>
      </c>
      <c r="H235" s="15">
        <v>39</v>
      </c>
      <c r="I235" s="15">
        <f t="shared" si="44"/>
        <v>78</v>
      </c>
      <c r="J235" s="15">
        <f t="shared" si="50"/>
        <v>15.6</v>
      </c>
      <c r="K235" s="15">
        <f t="shared" si="45"/>
        <v>31.2</v>
      </c>
      <c r="L235" s="15">
        <f t="shared" si="51"/>
        <v>823.2</v>
      </c>
    </row>
    <row r="236" customHeight="1" spans="1:12">
      <c r="A236" s="25" t="s">
        <v>92</v>
      </c>
      <c r="B236" s="25" t="s">
        <v>93</v>
      </c>
      <c r="C236" s="25" t="s">
        <v>94</v>
      </c>
      <c r="D236" s="25">
        <v>2</v>
      </c>
      <c r="E236" s="19" t="s">
        <v>95</v>
      </c>
      <c r="F236" s="15">
        <v>136</v>
      </c>
      <c r="G236" s="15">
        <f t="shared" si="43"/>
        <v>272</v>
      </c>
      <c r="H236" s="15">
        <v>17</v>
      </c>
      <c r="I236" s="15">
        <f t="shared" si="44"/>
        <v>34</v>
      </c>
      <c r="J236" s="15">
        <f t="shared" si="50"/>
        <v>6.8</v>
      </c>
      <c r="K236" s="15">
        <f t="shared" si="45"/>
        <v>13.6</v>
      </c>
      <c r="L236" s="15">
        <f t="shared" si="51"/>
        <v>319.6</v>
      </c>
    </row>
    <row r="237" customHeight="1" spans="1:12">
      <c r="A237" s="13" t="s">
        <v>27</v>
      </c>
      <c r="B237" s="13" t="s">
        <v>28</v>
      </c>
      <c r="C237" s="13" t="s">
        <v>25</v>
      </c>
      <c r="D237" s="13">
        <v>100</v>
      </c>
      <c r="E237" s="19" t="s">
        <v>29</v>
      </c>
      <c r="F237" s="15">
        <v>3.3</v>
      </c>
      <c r="G237" s="15">
        <f t="shared" si="43"/>
        <v>330</v>
      </c>
      <c r="H237" s="16">
        <v>1.7</v>
      </c>
      <c r="I237" s="15">
        <f t="shared" si="44"/>
        <v>170</v>
      </c>
      <c r="J237" s="15">
        <f t="shared" si="50"/>
        <v>0.68</v>
      </c>
      <c r="K237" s="15">
        <f t="shared" si="45"/>
        <v>68</v>
      </c>
      <c r="L237" s="15">
        <f t="shared" si="51"/>
        <v>568</v>
      </c>
    </row>
    <row r="238" customHeight="1" spans="1:12">
      <c r="A238" s="13" t="s">
        <v>54</v>
      </c>
      <c r="B238" s="13" t="s">
        <v>63</v>
      </c>
      <c r="C238" s="13" t="s">
        <v>25</v>
      </c>
      <c r="D238" s="20">
        <v>100</v>
      </c>
      <c r="E238" s="19" t="s">
        <v>64</v>
      </c>
      <c r="F238" s="15">
        <v>2.2</v>
      </c>
      <c r="G238" s="15">
        <f t="shared" si="43"/>
        <v>220</v>
      </c>
      <c r="H238" s="16">
        <v>1.7</v>
      </c>
      <c r="I238" s="15">
        <f t="shared" si="44"/>
        <v>170</v>
      </c>
      <c r="J238" s="15">
        <f t="shared" si="50"/>
        <v>0.68</v>
      </c>
      <c r="K238" s="15">
        <f t="shared" si="45"/>
        <v>68</v>
      </c>
      <c r="L238" s="15">
        <f t="shared" si="51"/>
        <v>458</v>
      </c>
    </row>
    <row r="239" customHeight="1" spans="1:12">
      <c r="A239" s="13" t="s">
        <v>57</v>
      </c>
      <c r="B239" s="13" t="s">
        <v>58</v>
      </c>
      <c r="C239" s="13" t="s">
        <v>32</v>
      </c>
      <c r="D239" s="13">
        <v>1</v>
      </c>
      <c r="E239" s="19" t="s">
        <v>59</v>
      </c>
      <c r="F239" s="15">
        <v>75</v>
      </c>
      <c r="G239" s="15">
        <f t="shared" si="43"/>
        <v>75</v>
      </c>
      <c r="H239" s="15">
        <v>39</v>
      </c>
      <c r="I239" s="15">
        <f t="shared" si="44"/>
        <v>39</v>
      </c>
      <c r="J239" s="15">
        <f t="shared" si="50"/>
        <v>15.6</v>
      </c>
      <c r="K239" s="15">
        <f t="shared" si="45"/>
        <v>15.6</v>
      </c>
      <c r="L239" s="15">
        <f t="shared" si="51"/>
        <v>129.6</v>
      </c>
    </row>
    <row r="240" customHeight="1" spans="1:12">
      <c r="A240" s="17" t="s">
        <v>47</v>
      </c>
      <c r="B240" s="17"/>
      <c r="C240" s="17"/>
      <c r="D240" s="17"/>
      <c r="E240" s="19"/>
      <c r="F240" s="15"/>
      <c r="G240" s="15">
        <f>SUM(G233:G239)</f>
        <v>2872</v>
      </c>
      <c r="H240" s="15"/>
      <c r="I240" s="15">
        <v>951</v>
      </c>
      <c r="J240" s="15"/>
      <c r="K240" s="15">
        <f>SUM(K233:K239)</f>
        <v>328.8</v>
      </c>
      <c r="L240" s="15">
        <f>SUM(L233:L239)</f>
        <v>4022.8</v>
      </c>
    </row>
    <row r="241" customHeight="1" spans="1:12">
      <c r="A241" s="9" t="s">
        <v>238</v>
      </c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27"/>
    </row>
    <row r="242" customHeight="1" spans="1:12">
      <c r="A242" s="11" t="s">
        <v>7</v>
      </c>
      <c r="B242" s="11" t="s">
        <v>8</v>
      </c>
      <c r="C242" s="11" t="s">
        <v>9</v>
      </c>
      <c r="D242" s="11" t="s">
        <v>10</v>
      </c>
      <c r="E242" s="11" t="s">
        <v>11</v>
      </c>
      <c r="F242" s="12" t="s">
        <v>12</v>
      </c>
      <c r="G242" s="12" t="s">
        <v>13</v>
      </c>
      <c r="H242" s="12" t="s">
        <v>14</v>
      </c>
      <c r="I242" s="12" t="s">
        <v>15</v>
      </c>
      <c r="J242" s="12" t="s">
        <v>16</v>
      </c>
      <c r="K242" s="12" t="s">
        <v>17</v>
      </c>
      <c r="L242" s="12" t="s">
        <v>18</v>
      </c>
    </row>
    <row r="243" customHeight="1" spans="1:12">
      <c r="A243" s="25" t="s">
        <v>239</v>
      </c>
      <c r="B243" s="25" t="s">
        <v>240</v>
      </c>
      <c r="C243" s="25" t="s">
        <v>21</v>
      </c>
      <c r="D243" s="29">
        <v>12</v>
      </c>
      <c r="E243" s="19" t="s">
        <v>241</v>
      </c>
      <c r="F243" s="30">
        <v>227</v>
      </c>
      <c r="G243" s="31">
        <f t="shared" si="43"/>
        <v>2724</v>
      </c>
      <c r="H243" s="15">
        <v>146</v>
      </c>
      <c r="I243" s="31">
        <f t="shared" si="44"/>
        <v>1752</v>
      </c>
      <c r="J243" s="31">
        <f t="shared" ref="J243:J257" si="52">H243*0.4</f>
        <v>58.4</v>
      </c>
      <c r="K243" s="31">
        <f t="shared" si="45"/>
        <v>700.8</v>
      </c>
      <c r="L243" s="31">
        <f t="shared" ref="L243:L257" si="53">F243*D243+H243*D243+J243*D243</f>
        <v>5176.8</v>
      </c>
    </row>
    <row r="244" customHeight="1" spans="1:12">
      <c r="A244" s="25" t="s">
        <v>124</v>
      </c>
      <c r="B244" s="25" t="s">
        <v>125</v>
      </c>
      <c r="C244" s="25" t="s">
        <v>21</v>
      </c>
      <c r="D244" s="29">
        <v>8</v>
      </c>
      <c r="E244" s="19" t="s">
        <v>126</v>
      </c>
      <c r="F244" s="30">
        <v>227</v>
      </c>
      <c r="G244" s="31">
        <f t="shared" si="43"/>
        <v>1816</v>
      </c>
      <c r="H244" s="15">
        <v>146</v>
      </c>
      <c r="I244" s="31">
        <f t="shared" si="44"/>
        <v>1168</v>
      </c>
      <c r="J244" s="31">
        <f t="shared" si="52"/>
        <v>58.4</v>
      </c>
      <c r="K244" s="31">
        <f t="shared" si="45"/>
        <v>467.2</v>
      </c>
      <c r="L244" s="31">
        <f t="shared" si="53"/>
        <v>3451.2</v>
      </c>
    </row>
    <row r="245" customHeight="1" spans="1:12">
      <c r="A245" s="13" t="s">
        <v>27</v>
      </c>
      <c r="B245" s="13" t="s">
        <v>28</v>
      </c>
      <c r="C245" s="13" t="s">
        <v>25</v>
      </c>
      <c r="D245" s="32">
        <v>800</v>
      </c>
      <c r="E245" s="19" t="s">
        <v>29</v>
      </c>
      <c r="F245" s="30">
        <v>3.3</v>
      </c>
      <c r="G245" s="31">
        <f t="shared" si="43"/>
        <v>2640</v>
      </c>
      <c r="H245" s="16">
        <v>1.7</v>
      </c>
      <c r="I245" s="31">
        <f t="shared" si="44"/>
        <v>1360</v>
      </c>
      <c r="J245" s="31">
        <f t="shared" si="52"/>
        <v>0.68</v>
      </c>
      <c r="K245" s="31">
        <f t="shared" si="45"/>
        <v>544</v>
      </c>
      <c r="L245" s="31">
        <f t="shared" si="53"/>
        <v>4544</v>
      </c>
    </row>
    <row r="246" customHeight="1" spans="1:12">
      <c r="A246" s="13" t="s">
        <v>54</v>
      </c>
      <c r="B246" s="13" t="s">
        <v>63</v>
      </c>
      <c r="C246" s="13" t="s">
        <v>25</v>
      </c>
      <c r="D246" s="32">
        <v>500</v>
      </c>
      <c r="E246" s="19" t="s">
        <v>64</v>
      </c>
      <c r="F246" s="30">
        <v>2.2</v>
      </c>
      <c r="G246" s="31">
        <f t="shared" si="43"/>
        <v>1100</v>
      </c>
      <c r="H246" s="16">
        <v>1.7</v>
      </c>
      <c r="I246" s="31">
        <f t="shared" si="44"/>
        <v>850</v>
      </c>
      <c r="J246" s="31">
        <f t="shared" si="52"/>
        <v>0.68</v>
      </c>
      <c r="K246" s="31">
        <f t="shared" si="45"/>
        <v>340</v>
      </c>
      <c r="L246" s="31">
        <f t="shared" si="53"/>
        <v>2290</v>
      </c>
    </row>
    <row r="247" customHeight="1" spans="1:12">
      <c r="A247" s="25" t="s">
        <v>119</v>
      </c>
      <c r="B247" s="25" t="s">
        <v>242</v>
      </c>
      <c r="C247" s="25" t="s">
        <v>21</v>
      </c>
      <c r="D247" s="29">
        <v>2</v>
      </c>
      <c r="E247" s="19" t="s">
        <v>235</v>
      </c>
      <c r="F247" s="30">
        <v>32</v>
      </c>
      <c r="G247" s="31">
        <f t="shared" si="43"/>
        <v>64</v>
      </c>
      <c r="H247" s="15">
        <v>11</v>
      </c>
      <c r="I247" s="31">
        <f t="shared" si="44"/>
        <v>22</v>
      </c>
      <c r="J247" s="31">
        <f t="shared" si="52"/>
        <v>4.4</v>
      </c>
      <c r="K247" s="31">
        <f t="shared" si="45"/>
        <v>8.8</v>
      </c>
      <c r="L247" s="31">
        <f t="shared" si="53"/>
        <v>94.8</v>
      </c>
    </row>
    <row r="248" customHeight="1" spans="1:12">
      <c r="A248" s="25" t="s">
        <v>161</v>
      </c>
      <c r="B248" s="25" t="s">
        <v>177</v>
      </c>
      <c r="C248" s="25" t="s">
        <v>32</v>
      </c>
      <c r="D248" s="29">
        <v>2</v>
      </c>
      <c r="E248" s="19" t="s">
        <v>178</v>
      </c>
      <c r="F248" s="30">
        <v>81</v>
      </c>
      <c r="G248" s="31">
        <f t="shared" si="43"/>
        <v>162</v>
      </c>
      <c r="H248" s="15">
        <v>17</v>
      </c>
      <c r="I248" s="31">
        <f t="shared" si="44"/>
        <v>34</v>
      </c>
      <c r="J248" s="31">
        <f t="shared" si="52"/>
        <v>6.8</v>
      </c>
      <c r="K248" s="31">
        <f t="shared" si="45"/>
        <v>13.6</v>
      </c>
      <c r="L248" s="31">
        <f t="shared" si="53"/>
        <v>209.6</v>
      </c>
    </row>
    <row r="249" customHeight="1" spans="1:12">
      <c r="A249" s="25" t="s">
        <v>243</v>
      </c>
      <c r="B249" s="25" t="s">
        <v>244</v>
      </c>
      <c r="C249" s="25" t="s">
        <v>94</v>
      </c>
      <c r="D249" s="29">
        <v>5</v>
      </c>
      <c r="E249" s="19" t="s">
        <v>245</v>
      </c>
      <c r="F249" s="30">
        <v>188</v>
      </c>
      <c r="G249" s="31">
        <f t="shared" si="43"/>
        <v>940</v>
      </c>
      <c r="H249" s="15">
        <v>169</v>
      </c>
      <c r="I249" s="31">
        <f t="shared" si="44"/>
        <v>845</v>
      </c>
      <c r="J249" s="31">
        <f t="shared" si="52"/>
        <v>67.6</v>
      </c>
      <c r="K249" s="31">
        <f t="shared" si="45"/>
        <v>338</v>
      </c>
      <c r="L249" s="31">
        <f t="shared" si="53"/>
        <v>2123</v>
      </c>
    </row>
    <row r="250" customHeight="1" spans="1:12">
      <c r="A250" s="13" t="s">
        <v>34</v>
      </c>
      <c r="B250" s="13" t="s">
        <v>96</v>
      </c>
      <c r="C250" s="13" t="s">
        <v>21</v>
      </c>
      <c r="D250" s="32">
        <v>9</v>
      </c>
      <c r="E250" s="14" t="s">
        <v>36</v>
      </c>
      <c r="F250" s="30">
        <v>357</v>
      </c>
      <c r="G250" s="31">
        <f t="shared" si="43"/>
        <v>3213</v>
      </c>
      <c r="H250" s="15">
        <v>39</v>
      </c>
      <c r="I250" s="31">
        <f t="shared" si="44"/>
        <v>351</v>
      </c>
      <c r="J250" s="31">
        <f t="shared" si="52"/>
        <v>15.6</v>
      </c>
      <c r="K250" s="31">
        <f t="shared" si="45"/>
        <v>140.4</v>
      </c>
      <c r="L250" s="31">
        <f t="shared" si="53"/>
        <v>3704.4</v>
      </c>
    </row>
    <row r="251" customHeight="1" spans="1:12">
      <c r="A251" s="25" t="s">
        <v>116</v>
      </c>
      <c r="B251" s="25" t="s">
        <v>246</v>
      </c>
      <c r="C251" s="25" t="s">
        <v>39</v>
      </c>
      <c r="D251" s="29">
        <v>4</v>
      </c>
      <c r="E251" s="19" t="s">
        <v>247</v>
      </c>
      <c r="F251" s="30">
        <v>15</v>
      </c>
      <c r="G251" s="31">
        <f t="shared" si="43"/>
        <v>60</v>
      </c>
      <c r="H251" s="15">
        <v>56</v>
      </c>
      <c r="I251" s="31">
        <f t="shared" si="44"/>
        <v>224</v>
      </c>
      <c r="J251" s="31">
        <f t="shared" si="52"/>
        <v>22.4</v>
      </c>
      <c r="K251" s="31">
        <f t="shared" si="45"/>
        <v>89.6</v>
      </c>
      <c r="L251" s="31">
        <f t="shared" si="53"/>
        <v>373.6</v>
      </c>
    </row>
    <row r="252" customHeight="1" spans="1:12">
      <c r="A252" s="25" t="s">
        <v>89</v>
      </c>
      <c r="B252" s="25" t="s">
        <v>232</v>
      </c>
      <c r="C252" s="25" t="s">
        <v>39</v>
      </c>
      <c r="D252" s="29">
        <v>8</v>
      </c>
      <c r="E252" s="19" t="s">
        <v>84</v>
      </c>
      <c r="F252" s="30">
        <v>15</v>
      </c>
      <c r="G252" s="31">
        <f t="shared" si="43"/>
        <v>120</v>
      </c>
      <c r="H252" s="15">
        <v>6</v>
      </c>
      <c r="I252" s="31">
        <f t="shared" si="44"/>
        <v>48</v>
      </c>
      <c r="J252" s="31">
        <f t="shared" si="52"/>
        <v>2.4</v>
      </c>
      <c r="K252" s="31">
        <f t="shared" si="45"/>
        <v>19.2</v>
      </c>
      <c r="L252" s="31">
        <f t="shared" si="53"/>
        <v>187.2</v>
      </c>
    </row>
    <row r="253" s="1" customFormat="1" customHeight="1" spans="1:12">
      <c r="A253" s="13" t="s">
        <v>248</v>
      </c>
      <c r="B253" s="25" t="s">
        <v>249</v>
      </c>
      <c r="C253" s="25" t="s">
        <v>134</v>
      </c>
      <c r="D253" s="29">
        <v>1</v>
      </c>
      <c r="E253" s="19" t="s">
        <v>250</v>
      </c>
      <c r="F253" s="30">
        <v>1415</v>
      </c>
      <c r="G253" s="31">
        <f t="shared" si="43"/>
        <v>1415</v>
      </c>
      <c r="H253" s="15">
        <v>52</v>
      </c>
      <c r="I253" s="31">
        <f t="shared" si="44"/>
        <v>52</v>
      </c>
      <c r="J253" s="31">
        <f t="shared" si="52"/>
        <v>20.8</v>
      </c>
      <c r="K253" s="31">
        <f t="shared" si="45"/>
        <v>20.8</v>
      </c>
      <c r="L253" s="31">
        <f t="shared" si="53"/>
        <v>1487.8</v>
      </c>
    </row>
    <row r="254" customHeight="1" spans="1:12">
      <c r="A254" s="25" t="s">
        <v>92</v>
      </c>
      <c r="B254" s="25" t="s">
        <v>93</v>
      </c>
      <c r="C254" s="25" t="s">
        <v>94</v>
      </c>
      <c r="D254" s="29">
        <v>3</v>
      </c>
      <c r="E254" s="19" t="s">
        <v>95</v>
      </c>
      <c r="F254" s="30">
        <v>141</v>
      </c>
      <c r="G254" s="31">
        <f t="shared" si="43"/>
        <v>423</v>
      </c>
      <c r="H254" s="15">
        <v>17</v>
      </c>
      <c r="I254" s="31">
        <f t="shared" si="44"/>
        <v>51</v>
      </c>
      <c r="J254" s="31">
        <f t="shared" si="52"/>
        <v>6.8</v>
      </c>
      <c r="K254" s="31">
        <f t="shared" si="45"/>
        <v>20.4</v>
      </c>
      <c r="L254" s="31">
        <f t="shared" si="53"/>
        <v>494.4</v>
      </c>
    </row>
    <row r="255" s="1" customFormat="1" customHeight="1" spans="1:12">
      <c r="A255" s="13" t="s">
        <v>73</v>
      </c>
      <c r="B255" s="13" t="s">
        <v>74</v>
      </c>
      <c r="C255" s="13" t="s">
        <v>75</v>
      </c>
      <c r="D255" s="32">
        <v>1</v>
      </c>
      <c r="E255" s="19" t="s">
        <v>251</v>
      </c>
      <c r="F255" s="30">
        <v>0</v>
      </c>
      <c r="G255" s="31">
        <f t="shared" si="43"/>
        <v>0</v>
      </c>
      <c r="H255" s="15">
        <v>674</v>
      </c>
      <c r="I255" s="31">
        <f t="shared" si="44"/>
        <v>674</v>
      </c>
      <c r="J255" s="31">
        <v>0</v>
      </c>
      <c r="K255" s="31">
        <f t="shared" si="45"/>
        <v>0</v>
      </c>
      <c r="L255" s="31">
        <f t="shared" si="53"/>
        <v>674</v>
      </c>
    </row>
    <row r="256" customHeight="1" spans="1:12">
      <c r="A256" s="13" t="s">
        <v>252</v>
      </c>
      <c r="B256" s="13" t="s">
        <v>253</v>
      </c>
      <c r="C256" s="13" t="s">
        <v>21</v>
      </c>
      <c r="D256" s="32">
        <v>2</v>
      </c>
      <c r="E256" s="14" t="s">
        <v>254</v>
      </c>
      <c r="F256" s="30">
        <v>1415</v>
      </c>
      <c r="G256" s="31">
        <f t="shared" si="43"/>
        <v>2830</v>
      </c>
      <c r="H256" s="15">
        <v>52</v>
      </c>
      <c r="I256" s="31">
        <f t="shared" si="44"/>
        <v>104</v>
      </c>
      <c r="J256" s="31">
        <f t="shared" si="52"/>
        <v>20.8</v>
      </c>
      <c r="K256" s="31">
        <f t="shared" si="45"/>
        <v>41.6</v>
      </c>
      <c r="L256" s="31">
        <f t="shared" si="53"/>
        <v>2975.6</v>
      </c>
    </row>
    <row r="257" customHeight="1" spans="1:12">
      <c r="A257" s="25" t="s">
        <v>139</v>
      </c>
      <c r="B257" s="25" t="s">
        <v>165</v>
      </c>
      <c r="C257" s="25" t="s">
        <v>52</v>
      </c>
      <c r="D257" s="29">
        <v>6</v>
      </c>
      <c r="E257" s="19" t="s">
        <v>141</v>
      </c>
      <c r="F257" s="30">
        <v>1631</v>
      </c>
      <c r="G257" s="31">
        <f t="shared" si="43"/>
        <v>9786</v>
      </c>
      <c r="H257" s="15">
        <v>11</v>
      </c>
      <c r="I257" s="31">
        <f t="shared" si="44"/>
        <v>66</v>
      </c>
      <c r="J257" s="31">
        <f t="shared" si="52"/>
        <v>4.4</v>
      </c>
      <c r="K257" s="31">
        <f t="shared" si="45"/>
        <v>26.4</v>
      </c>
      <c r="L257" s="31">
        <f t="shared" si="53"/>
        <v>9878.4</v>
      </c>
    </row>
    <row r="258" customHeight="1" spans="1:12">
      <c r="A258" s="17" t="s">
        <v>47</v>
      </c>
      <c r="B258" s="17"/>
      <c r="C258" s="17"/>
      <c r="D258" s="17"/>
      <c r="E258" s="19"/>
      <c r="F258" s="15"/>
      <c r="G258" s="15">
        <f>SUM(G243:G257)</f>
        <v>27293</v>
      </c>
      <c r="H258" s="15"/>
      <c r="I258" s="15">
        <v>8527</v>
      </c>
      <c r="J258" s="15"/>
      <c r="K258" s="15">
        <f>SUM(K243:K257)</f>
        <v>2770.8</v>
      </c>
      <c r="L258" s="15">
        <f>SUM(L243:L257)</f>
        <v>37664.8</v>
      </c>
    </row>
    <row r="259" customHeight="1" spans="1:12">
      <c r="A259" s="9" t="s">
        <v>255</v>
      </c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27"/>
    </row>
    <row r="260" customHeight="1" spans="1:12">
      <c r="A260" s="11" t="s">
        <v>7</v>
      </c>
      <c r="B260" s="11" t="s">
        <v>8</v>
      </c>
      <c r="C260" s="11" t="s">
        <v>9</v>
      </c>
      <c r="D260" s="11" t="s">
        <v>10</v>
      </c>
      <c r="E260" s="11" t="s">
        <v>11</v>
      </c>
      <c r="F260" s="12" t="s">
        <v>12</v>
      </c>
      <c r="G260" s="12" t="s">
        <v>13</v>
      </c>
      <c r="H260" s="12" t="s">
        <v>14</v>
      </c>
      <c r="I260" s="12" t="s">
        <v>15</v>
      </c>
      <c r="J260" s="12" t="s">
        <v>16</v>
      </c>
      <c r="K260" s="12" t="s">
        <v>17</v>
      </c>
      <c r="L260" s="12" t="s">
        <v>18</v>
      </c>
    </row>
    <row r="261" customHeight="1" spans="1:12">
      <c r="A261" s="13" t="s">
        <v>27</v>
      </c>
      <c r="B261" s="13" t="s">
        <v>28</v>
      </c>
      <c r="C261" s="13" t="s">
        <v>25</v>
      </c>
      <c r="D261" s="13">
        <v>170</v>
      </c>
      <c r="E261" s="19" t="s">
        <v>29</v>
      </c>
      <c r="F261" s="15">
        <v>3.3</v>
      </c>
      <c r="G261" s="15">
        <f t="shared" ref="G261:G324" si="54">F261*D261</f>
        <v>561</v>
      </c>
      <c r="H261" s="16">
        <v>1.7</v>
      </c>
      <c r="I261" s="15">
        <f t="shared" ref="I261:I324" si="55">H261*D261</f>
        <v>289</v>
      </c>
      <c r="J261" s="15">
        <f t="shared" ref="J261:J268" si="56">H261*0.4</f>
        <v>0.68</v>
      </c>
      <c r="K261" s="15">
        <f t="shared" ref="K261:K324" si="57">J261*D261</f>
        <v>115.6</v>
      </c>
      <c r="L261" s="15">
        <f t="shared" ref="L261:L268" si="58">F261*D261+H261*D261+J261*D261</f>
        <v>965.6</v>
      </c>
    </row>
    <row r="262" customHeight="1" spans="1:12">
      <c r="A262" s="13" t="s">
        <v>54</v>
      </c>
      <c r="B262" s="13" t="s">
        <v>63</v>
      </c>
      <c r="C262" s="13" t="s">
        <v>25</v>
      </c>
      <c r="D262" s="20">
        <v>290</v>
      </c>
      <c r="E262" s="19" t="s">
        <v>64</v>
      </c>
      <c r="F262" s="15">
        <v>2.2</v>
      </c>
      <c r="G262" s="15">
        <f t="shared" si="54"/>
        <v>638</v>
      </c>
      <c r="H262" s="16">
        <v>1.7</v>
      </c>
      <c r="I262" s="15">
        <f t="shared" si="55"/>
        <v>493</v>
      </c>
      <c r="J262" s="15">
        <f t="shared" si="56"/>
        <v>0.68</v>
      </c>
      <c r="K262" s="15">
        <f t="shared" si="57"/>
        <v>197.2</v>
      </c>
      <c r="L262" s="15">
        <f t="shared" si="58"/>
        <v>1328.2</v>
      </c>
    </row>
    <row r="263" customHeight="1" spans="1:12">
      <c r="A263" s="25" t="s">
        <v>119</v>
      </c>
      <c r="B263" s="25" t="s">
        <v>256</v>
      </c>
      <c r="C263" s="25" t="s">
        <v>21</v>
      </c>
      <c r="D263" s="25">
        <v>3</v>
      </c>
      <c r="E263" s="19" t="s">
        <v>235</v>
      </c>
      <c r="F263" s="15">
        <v>45</v>
      </c>
      <c r="G263" s="15">
        <f t="shared" si="54"/>
        <v>135</v>
      </c>
      <c r="H263" s="15">
        <v>11</v>
      </c>
      <c r="I263" s="15">
        <f t="shared" si="55"/>
        <v>33</v>
      </c>
      <c r="J263" s="15">
        <f t="shared" si="56"/>
        <v>4.4</v>
      </c>
      <c r="K263" s="15">
        <f t="shared" si="57"/>
        <v>13.2</v>
      </c>
      <c r="L263" s="15">
        <f t="shared" si="58"/>
        <v>181.2</v>
      </c>
    </row>
    <row r="264" customHeight="1" spans="1:12">
      <c r="A264" s="25" t="s">
        <v>145</v>
      </c>
      <c r="B264" s="25" t="s">
        <v>257</v>
      </c>
      <c r="C264" s="25" t="s">
        <v>39</v>
      </c>
      <c r="D264" s="25">
        <v>4</v>
      </c>
      <c r="E264" s="19" t="s">
        <v>258</v>
      </c>
      <c r="F264" s="15">
        <v>20</v>
      </c>
      <c r="G264" s="15">
        <f t="shared" si="54"/>
        <v>80</v>
      </c>
      <c r="H264" s="15">
        <v>11</v>
      </c>
      <c r="I264" s="15">
        <f t="shared" si="55"/>
        <v>44</v>
      </c>
      <c r="J264" s="15">
        <f t="shared" si="56"/>
        <v>4.4</v>
      </c>
      <c r="K264" s="15">
        <f t="shared" si="57"/>
        <v>17.6</v>
      </c>
      <c r="L264" s="15">
        <f t="shared" si="58"/>
        <v>141.6</v>
      </c>
    </row>
    <row r="265" customHeight="1" spans="1:12">
      <c r="A265" s="25" t="s">
        <v>243</v>
      </c>
      <c r="B265" s="25" t="s">
        <v>244</v>
      </c>
      <c r="C265" s="25" t="s">
        <v>94</v>
      </c>
      <c r="D265" s="25">
        <v>3</v>
      </c>
      <c r="E265" s="19" t="s">
        <v>245</v>
      </c>
      <c r="F265" s="15">
        <v>188</v>
      </c>
      <c r="G265" s="15">
        <f t="shared" si="54"/>
        <v>564</v>
      </c>
      <c r="H265" s="15">
        <v>169</v>
      </c>
      <c r="I265" s="15">
        <f t="shared" si="55"/>
        <v>507</v>
      </c>
      <c r="J265" s="15">
        <f t="shared" si="56"/>
        <v>67.6</v>
      </c>
      <c r="K265" s="15">
        <f t="shared" si="57"/>
        <v>202.8</v>
      </c>
      <c r="L265" s="15">
        <f t="shared" si="58"/>
        <v>1273.8</v>
      </c>
    </row>
    <row r="266" customHeight="1" spans="1:12">
      <c r="A266" s="25" t="s">
        <v>259</v>
      </c>
      <c r="B266" s="25" t="s">
        <v>260</v>
      </c>
      <c r="C266" s="25" t="s">
        <v>134</v>
      </c>
      <c r="D266" s="25">
        <v>1</v>
      </c>
      <c r="E266" s="19" t="s">
        <v>261</v>
      </c>
      <c r="F266" s="15">
        <v>188</v>
      </c>
      <c r="G266" s="15">
        <f t="shared" si="54"/>
        <v>188</v>
      </c>
      <c r="H266" s="15">
        <v>146</v>
      </c>
      <c r="I266" s="15">
        <f t="shared" si="55"/>
        <v>146</v>
      </c>
      <c r="J266" s="15">
        <f t="shared" si="56"/>
        <v>58.4</v>
      </c>
      <c r="K266" s="15">
        <f t="shared" si="57"/>
        <v>58.4</v>
      </c>
      <c r="L266" s="15">
        <f t="shared" si="58"/>
        <v>392.4</v>
      </c>
    </row>
    <row r="267" customHeight="1" spans="1:12">
      <c r="A267" s="25" t="s">
        <v>161</v>
      </c>
      <c r="B267" s="25" t="s">
        <v>177</v>
      </c>
      <c r="C267" s="25" t="s">
        <v>32</v>
      </c>
      <c r="D267" s="25">
        <v>2</v>
      </c>
      <c r="E267" s="19" t="s">
        <v>178</v>
      </c>
      <c r="F267" s="15">
        <v>81</v>
      </c>
      <c r="G267" s="15">
        <f t="shared" si="54"/>
        <v>162</v>
      </c>
      <c r="H267" s="15">
        <v>17</v>
      </c>
      <c r="I267" s="15">
        <f t="shared" si="55"/>
        <v>34</v>
      </c>
      <c r="J267" s="15">
        <f t="shared" si="56"/>
        <v>6.8</v>
      </c>
      <c r="K267" s="15">
        <f t="shared" si="57"/>
        <v>13.6</v>
      </c>
      <c r="L267" s="15">
        <f t="shared" si="58"/>
        <v>209.6</v>
      </c>
    </row>
    <row r="268" customHeight="1" spans="1:12">
      <c r="A268" s="25" t="s">
        <v>124</v>
      </c>
      <c r="B268" s="25" t="s">
        <v>125</v>
      </c>
      <c r="C268" s="25" t="s">
        <v>21</v>
      </c>
      <c r="D268" s="25">
        <v>1</v>
      </c>
      <c r="E268" s="19" t="s">
        <v>126</v>
      </c>
      <c r="F268" s="15">
        <v>227</v>
      </c>
      <c r="G268" s="15">
        <f t="shared" si="54"/>
        <v>227</v>
      </c>
      <c r="H268" s="15">
        <v>146</v>
      </c>
      <c r="I268" s="15">
        <f t="shared" si="55"/>
        <v>146</v>
      </c>
      <c r="J268" s="15">
        <f t="shared" si="56"/>
        <v>58.4</v>
      </c>
      <c r="K268" s="15">
        <f t="shared" si="57"/>
        <v>58.4</v>
      </c>
      <c r="L268" s="15">
        <f t="shared" si="58"/>
        <v>431.4</v>
      </c>
    </row>
    <row r="269" customHeight="1" spans="1:12">
      <c r="A269" s="17" t="s">
        <v>47</v>
      </c>
      <c r="B269" s="17"/>
      <c r="C269" s="17"/>
      <c r="D269" s="17"/>
      <c r="E269" s="19"/>
      <c r="F269" s="15"/>
      <c r="G269" s="15">
        <f>SUM(G261:G268)</f>
        <v>2555</v>
      </c>
      <c r="H269" s="15"/>
      <c r="I269" s="15">
        <v>1988</v>
      </c>
      <c r="J269" s="15"/>
      <c r="K269" s="15">
        <f>SUM(K261:K268)</f>
        <v>676.8</v>
      </c>
      <c r="L269" s="15">
        <f>SUM(L261:L268)</f>
        <v>4923.8</v>
      </c>
    </row>
    <row r="270" customHeight="1" spans="1:12">
      <c r="A270" s="9" t="s">
        <v>262</v>
      </c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27"/>
    </row>
    <row r="271" customHeight="1" spans="1:12">
      <c r="A271" s="11" t="s">
        <v>7</v>
      </c>
      <c r="B271" s="11" t="s">
        <v>8</v>
      </c>
      <c r="C271" s="11" t="s">
        <v>9</v>
      </c>
      <c r="D271" s="11" t="s">
        <v>10</v>
      </c>
      <c r="E271" s="11" t="s">
        <v>11</v>
      </c>
      <c r="F271" s="12" t="s">
        <v>12</v>
      </c>
      <c r="G271" s="12" t="s">
        <v>13</v>
      </c>
      <c r="H271" s="12" t="s">
        <v>14</v>
      </c>
      <c r="I271" s="12" t="s">
        <v>15</v>
      </c>
      <c r="J271" s="12" t="s">
        <v>16</v>
      </c>
      <c r="K271" s="12" t="s">
        <v>17</v>
      </c>
      <c r="L271" s="12" t="s">
        <v>18</v>
      </c>
    </row>
    <row r="272" customHeight="1" spans="1:12">
      <c r="A272" s="13" t="s">
        <v>27</v>
      </c>
      <c r="B272" s="13" t="s">
        <v>28</v>
      </c>
      <c r="C272" s="13" t="s">
        <v>25</v>
      </c>
      <c r="D272" s="13">
        <v>130</v>
      </c>
      <c r="E272" s="19" t="s">
        <v>29</v>
      </c>
      <c r="F272" s="15">
        <v>3.3</v>
      </c>
      <c r="G272" s="15">
        <f t="shared" si="54"/>
        <v>429</v>
      </c>
      <c r="H272" s="16">
        <v>1.7</v>
      </c>
      <c r="I272" s="15">
        <f t="shared" si="55"/>
        <v>221</v>
      </c>
      <c r="J272" s="15">
        <f t="shared" ref="J272:J277" si="59">H272*0.4</f>
        <v>0.68</v>
      </c>
      <c r="K272" s="15">
        <f t="shared" si="57"/>
        <v>88.4</v>
      </c>
      <c r="L272" s="15">
        <f t="shared" ref="L272:L277" si="60">F272*D272+H272*D272+J272*D272</f>
        <v>738.4</v>
      </c>
    </row>
    <row r="273" customHeight="1" spans="1:12">
      <c r="A273" s="13" t="s">
        <v>54</v>
      </c>
      <c r="B273" s="13" t="s">
        <v>63</v>
      </c>
      <c r="C273" s="13" t="s">
        <v>25</v>
      </c>
      <c r="D273" s="20">
        <v>100</v>
      </c>
      <c r="E273" s="19" t="s">
        <v>64</v>
      </c>
      <c r="F273" s="15">
        <v>2.2</v>
      </c>
      <c r="G273" s="15">
        <f t="shared" si="54"/>
        <v>220</v>
      </c>
      <c r="H273" s="16">
        <v>1.7</v>
      </c>
      <c r="I273" s="15">
        <f t="shared" si="55"/>
        <v>170</v>
      </c>
      <c r="J273" s="15">
        <f t="shared" si="59"/>
        <v>0.68</v>
      </c>
      <c r="K273" s="15">
        <f t="shared" si="57"/>
        <v>68</v>
      </c>
      <c r="L273" s="15">
        <f t="shared" si="60"/>
        <v>458</v>
      </c>
    </row>
    <row r="274" customHeight="1" spans="1:12">
      <c r="A274" s="25" t="s">
        <v>161</v>
      </c>
      <c r="B274" s="25" t="s">
        <v>177</v>
      </c>
      <c r="C274" s="25" t="s">
        <v>32</v>
      </c>
      <c r="D274" s="25">
        <v>1</v>
      </c>
      <c r="E274" s="19" t="s">
        <v>178</v>
      </c>
      <c r="F274" s="15">
        <v>81</v>
      </c>
      <c r="G274" s="15">
        <f t="shared" si="54"/>
        <v>81</v>
      </c>
      <c r="H274" s="15">
        <v>17</v>
      </c>
      <c r="I274" s="15">
        <f t="shared" si="55"/>
        <v>17</v>
      </c>
      <c r="J274" s="15">
        <f t="shared" si="59"/>
        <v>6.8</v>
      </c>
      <c r="K274" s="15">
        <f t="shared" si="57"/>
        <v>6.8</v>
      </c>
      <c r="L274" s="15">
        <f t="shared" si="60"/>
        <v>104.8</v>
      </c>
    </row>
    <row r="275" customHeight="1" spans="1:12">
      <c r="A275" s="25" t="s">
        <v>119</v>
      </c>
      <c r="B275" s="25" t="s">
        <v>263</v>
      </c>
      <c r="C275" s="25" t="s">
        <v>21</v>
      </c>
      <c r="D275" s="25">
        <v>2</v>
      </c>
      <c r="E275" s="19" t="s">
        <v>264</v>
      </c>
      <c r="F275" s="15">
        <v>32</v>
      </c>
      <c r="G275" s="15">
        <f t="shared" si="54"/>
        <v>64</v>
      </c>
      <c r="H275" s="15">
        <v>11</v>
      </c>
      <c r="I275" s="15">
        <f t="shared" si="55"/>
        <v>22</v>
      </c>
      <c r="J275" s="15">
        <f t="shared" si="59"/>
        <v>4.4</v>
      </c>
      <c r="K275" s="15">
        <f t="shared" si="57"/>
        <v>8.8</v>
      </c>
      <c r="L275" s="15">
        <f t="shared" si="60"/>
        <v>94.8</v>
      </c>
    </row>
    <row r="276" s="1" customFormat="1" customHeight="1" spans="1:12">
      <c r="A276" s="13" t="s">
        <v>81</v>
      </c>
      <c r="B276" s="13" t="s">
        <v>82</v>
      </c>
      <c r="C276" s="13" t="s">
        <v>21</v>
      </c>
      <c r="D276" s="20">
        <v>1</v>
      </c>
      <c r="E276" s="19" t="s">
        <v>59</v>
      </c>
      <c r="F276" s="15">
        <v>0</v>
      </c>
      <c r="G276" s="15">
        <f t="shared" si="54"/>
        <v>0</v>
      </c>
      <c r="H276" s="15">
        <v>112</v>
      </c>
      <c r="I276" s="15">
        <f t="shared" si="55"/>
        <v>112</v>
      </c>
      <c r="J276" s="15">
        <f t="shared" si="59"/>
        <v>44.8</v>
      </c>
      <c r="K276" s="15">
        <f t="shared" si="57"/>
        <v>44.8</v>
      </c>
      <c r="L276" s="15">
        <f t="shared" si="60"/>
        <v>156.8</v>
      </c>
    </row>
    <row r="277" s="1" customFormat="1" customHeight="1" spans="1:12">
      <c r="A277" s="13" t="s">
        <v>265</v>
      </c>
      <c r="B277" s="13" t="s">
        <v>266</v>
      </c>
      <c r="C277" s="25" t="s">
        <v>134</v>
      </c>
      <c r="D277" s="25">
        <v>1</v>
      </c>
      <c r="E277" s="14" t="s">
        <v>267</v>
      </c>
      <c r="F277" s="15">
        <v>0</v>
      </c>
      <c r="G277" s="15">
        <f t="shared" si="54"/>
        <v>0</v>
      </c>
      <c r="H277" s="15">
        <v>451</v>
      </c>
      <c r="I277" s="15">
        <f t="shared" si="55"/>
        <v>451</v>
      </c>
      <c r="J277" s="15">
        <f t="shared" si="59"/>
        <v>180.4</v>
      </c>
      <c r="K277" s="15">
        <f t="shared" si="57"/>
        <v>180.4</v>
      </c>
      <c r="L277" s="15">
        <f t="shared" si="60"/>
        <v>631.4</v>
      </c>
    </row>
    <row r="278" customHeight="1" spans="1:12">
      <c r="A278" s="17" t="s">
        <v>47</v>
      </c>
      <c r="B278" s="17"/>
      <c r="C278" s="17"/>
      <c r="D278" s="17"/>
      <c r="E278" s="19"/>
      <c r="F278" s="15"/>
      <c r="G278" s="15">
        <f>SUM(G272:G277)</f>
        <v>794</v>
      </c>
      <c r="H278" s="15"/>
      <c r="I278" s="15">
        <v>1031</v>
      </c>
      <c r="J278" s="15"/>
      <c r="K278" s="15">
        <f>SUM(K272:K277)</f>
        <v>397.2</v>
      </c>
      <c r="L278" s="15">
        <f>SUM(L272:L277)</f>
        <v>2184.2</v>
      </c>
    </row>
    <row r="279" customHeight="1" spans="1:12">
      <c r="A279" s="9" t="s">
        <v>268</v>
      </c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27"/>
    </row>
    <row r="280" customHeight="1" spans="1:12">
      <c r="A280" s="11" t="s">
        <v>7</v>
      </c>
      <c r="B280" s="11" t="s">
        <v>8</v>
      </c>
      <c r="C280" s="11" t="s">
        <v>9</v>
      </c>
      <c r="D280" s="11" t="s">
        <v>10</v>
      </c>
      <c r="E280" s="11" t="s">
        <v>11</v>
      </c>
      <c r="F280" s="12" t="s">
        <v>12</v>
      </c>
      <c r="G280" s="12" t="s">
        <v>13</v>
      </c>
      <c r="H280" s="12" t="s">
        <v>14</v>
      </c>
      <c r="I280" s="12" t="s">
        <v>15</v>
      </c>
      <c r="J280" s="12" t="s">
        <v>16</v>
      </c>
      <c r="K280" s="12" t="s">
        <v>17</v>
      </c>
      <c r="L280" s="12" t="s">
        <v>18</v>
      </c>
    </row>
    <row r="281" customHeight="1" spans="1:12">
      <c r="A281" s="25" t="s">
        <v>239</v>
      </c>
      <c r="B281" s="25" t="s">
        <v>269</v>
      </c>
      <c r="C281" s="25" t="s">
        <v>21</v>
      </c>
      <c r="D281" s="25">
        <v>4</v>
      </c>
      <c r="E281" s="19" t="s">
        <v>270</v>
      </c>
      <c r="F281" s="15">
        <v>227</v>
      </c>
      <c r="G281" s="15">
        <f t="shared" si="54"/>
        <v>908</v>
      </c>
      <c r="H281" s="15">
        <v>146</v>
      </c>
      <c r="I281" s="15">
        <f t="shared" si="55"/>
        <v>584</v>
      </c>
      <c r="J281" s="15">
        <f t="shared" ref="J281:J286" si="61">H281*0.4</f>
        <v>58.4</v>
      </c>
      <c r="K281" s="15">
        <f t="shared" si="57"/>
        <v>233.6</v>
      </c>
      <c r="L281" s="15">
        <f t="shared" ref="L281:L286" si="62">F281*D281+H281*D281+J281*D281</f>
        <v>1725.6</v>
      </c>
    </row>
    <row r="282" customHeight="1" spans="1:12">
      <c r="A282" s="25" t="s">
        <v>89</v>
      </c>
      <c r="B282" s="25" t="s">
        <v>271</v>
      </c>
      <c r="C282" s="25" t="s">
        <v>39</v>
      </c>
      <c r="D282" s="25">
        <v>3</v>
      </c>
      <c r="E282" s="19" t="s">
        <v>272</v>
      </c>
      <c r="F282" s="15">
        <v>15</v>
      </c>
      <c r="G282" s="15">
        <f t="shared" si="54"/>
        <v>45</v>
      </c>
      <c r="H282" s="15">
        <v>11</v>
      </c>
      <c r="I282" s="15">
        <f t="shared" si="55"/>
        <v>33</v>
      </c>
      <c r="J282" s="15">
        <f t="shared" si="61"/>
        <v>4.4</v>
      </c>
      <c r="K282" s="15">
        <f t="shared" si="57"/>
        <v>13.2</v>
      </c>
      <c r="L282" s="15">
        <f t="shared" si="62"/>
        <v>91.2</v>
      </c>
    </row>
    <row r="283" customHeight="1" spans="1:12">
      <c r="A283" s="13" t="s">
        <v>27</v>
      </c>
      <c r="B283" s="13" t="s">
        <v>28</v>
      </c>
      <c r="C283" s="13" t="s">
        <v>25</v>
      </c>
      <c r="D283" s="13">
        <v>80</v>
      </c>
      <c r="E283" s="19" t="s">
        <v>29</v>
      </c>
      <c r="F283" s="15">
        <v>3.3</v>
      </c>
      <c r="G283" s="15">
        <f t="shared" si="54"/>
        <v>264</v>
      </c>
      <c r="H283" s="16">
        <v>1.7</v>
      </c>
      <c r="I283" s="15">
        <f t="shared" si="55"/>
        <v>136</v>
      </c>
      <c r="J283" s="15">
        <f t="shared" si="61"/>
        <v>0.68</v>
      </c>
      <c r="K283" s="15">
        <f t="shared" si="57"/>
        <v>54.4</v>
      </c>
      <c r="L283" s="15">
        <f t="shared" si="62"/>
        <v>454.4</v>
      </c>
    </row>
    <row r="284" customHeight="1" spans="1:12">
      <c r="A284" s="13" t="s">
        <v>54</v>
      </c>
      <c r="B284" s="13" t="s">
        <v>63</v>
      </c>
      <c r="C284" s="13" t="s">
        <v>25</v>
      </c>
      <c r="D284" s="20">
        <v>60</v>
      </c>
      <c r="E284" s="19" t="s">
        <v>64</v>
      </c>
      <c r="F284" s="15">
        <v>2.2</v>
      </c>
      <c r="G284" s="15">
        <f t="shared" si="54"/>
        <v>132</v>
      </c>
      <c r="H284" s="16">
        <v>1.7</v>
      </c>
      <c r="I284" s="15">
        <f t="shared" si="55"/>
        <v>102</v>
      </c>
      <c r="J284" s="15">
        <f t="shared" si="61"/>
        <v>0.68</v>
      </c>
      <c r="K284" s="15">
        <f t="shared" si="57"/>
        <v>40.8</v>
      </c>
      <c r="L284" s="15">
        <f t="shared" si="62"/>
        <v>274.8</v>
      </c>
    </row>
    <row r="285" customHeight="1" spans="1:12">
      <c r="A285" s="25" t="s">
        <v>92</v>
      </c>
      <c r="B285" s="25" t="s">
        <v>93</v>
      </c>
      <c r="C285" s="25" t="s">
        <v>94</v>
      </c>
      <c r="D285" s="25">
        <v>2</v>
      </c>
      <c r="E285" s="19" t="s">
        <v>95</v>
      </c>
      <c r="F285" s="15">
        <v>141</v>
      </c>
      <c r="G285" s="15">
        <f t="shared" si="54"/>
        <v>282</v>
      </c>
      <c r="H285" s="15">
        <v>17</v>
      </c>
      <c r="I285" s="15">
        <f t="shared" si="55"/>
        <v>34</v>
      </c>
      <c r="J285" s="15">
        <f t="shared" si="61"/>
        <v>6.8</v>
      </c>
      <c r="K285" s="15">
        <f t="shared" si="57"/>
        <v>13.6</v>
      </c>
      <c r="L285" s="15">
        <f t="shared" si="62"/>
        <v>329.6</v>
      </c>
    </row>
    <row r="286" customHeight="1" spans="1:12">
      <c r="A286" s="13" t="s">
        <v>34</v>
      </c>
      <c r="B286" s="13" t="s">
        <v>35</v>
      </c>
      <c r="C286" s="13" t="s">
        <v>21</v>
      </c>
      <c r="D286" s="13">
        <v>2</v>
      </c>
      <c r="E286" s="14" t="s">
        <v>36</v>
      </c>
      <c r="F286" s="15">
        <v>357</v>
      </c>
      <c r="G286" s="15">
        <f t="shared" si="54"/>
        <v>714</v>
      </c>
      <c r="H286" s="15">
        <v>39</v>
      </c>
      <c r="I286" s="15">
        <f t="shared" si="55"/>
        <v>78</v>
      </c>
      <c r="J286" s="15">
        <f t="shared" si="61"/>
        <v>15.6</v>
      </c>
      <c r="K286" s="15">
        <f t="shared" si="57"/>
        <v>31.2</v>
      </c>
      <c r="L286" s="15">
        <f t="shared" si="62"/>
        <v>823.2</v>
      </c>
    </row>
    <row r="287" customHeight="1" spans="1:12">
      <c r="A287" s="17" t="s">
        <v>47</v>
      </c>
      <c r="B287" s="17"/>
      <c r="C287" s="17"/>
      <c r="D287" s="17"/>
      <c r="E287" s="19"/>
      <c r="F287" s="15"/>
      <c r="G287" s="15">
        <f>SUM(G281:G286)</f>
        <v>2345</v>
      </c>
      <c r="H287" s="15"/>
      <c r="I287" s="15">
        <v>1169</v>
      </c>
      <c r="J287" s="15"/>
      <c r="K287" s="15">
        <f>SUM(K281:K286)</f>
        <v>386.8</v>
      </c>
      <c r="L287" s="15">
        <f>SUM(L281:L286)</f>
        <v>3698.8</v>
      </c>
    </row>
    <row r="288" customHeight="1" spans="1:12">
      <c r="A288" s="9" t="s">
        <v>273</v>
      </c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27"/>
    </row>
    <row r="289" customHeight="1" spans="1:12">
      <c r="A289" s="11" t="s">
        <v>7</v>
      </c>
      <c r="B289" s="11" t="s">
        <v>8</v>
      </c>
      <c r="C289" s="11" t="s">
        <v>9</v>
      </c>
      <c r="D289" s="11" t="s">
        <v>10</v>
      </c>
      <c r="E289" s="11" t="s">
        <v>11</v>
      </c>
      <c r="F289" s="12" t="s">
        <v>12</v>
      </c>
      <c r="G289" s="12" t="s">
        <v>13</v>
      </c>
      <c r="H289" s="12" t="s">
        <v>14</v>
      </c>
      <c r="I289" s="12" t="s">
        <v>15</v>
      </c>
      <c r="J289" s="12" t="s">
        <v>16</v>
      </c>
      <c r="K289" s="12" t="s">
        <v>17</v>
      </c>
      <c r="L289" s="12" t="s">
        <v>18</v>
      </c>
    </row>
    <row r="290" customHeight="1" spans="1:12">
      <c r="A290" s="13" t="s">
        <v>27</v>
      </c>
      <c r="B290" s="13" t="s">
        <v>28</v>
      </c>
      <c r="C290" s="13" t="s">
        <v>25</v>
      </c>
      <c r="D290" s="13">
        <v>130</v>
      </c>
      <c r="E290" s="19" t="s">
        <v>29</v>
      </c>
      <c r="F290" s="15">
        <v>3.3</v>
      </c>
      <c r="G290" s="15">
        <f t="shared" si="54"/>
        <v>429</v>
      </c>
      <c r="H290" s="16">
        <v>1.7</v>
      </c>
      <c r="I290" s="15">
        <f t="shared" si="55"/>
        <v>221</v>
      </c>
      <c r="J290" s="15">
        <f t="shared" ref="J287:J296" si="63">H290*0.4</f>
        <v>0.68</v>
      </c>
      <c r="K290" s="15">
        <f t="shared" si="57"/>
        <v>88.4</v>
      </c>
      <c r="L290" s="15">
        <f t="shared" ref="L287:L296" si="64">F290*D290+H290*D290+J290*D290</f>
        <v>738.4</v>
      </c>
    </row>
    <row r="291" customHeight="1" spans="1:12">
      <c r="A291" s="13" t="s">
        <v>54</v>
      </c>
      <c r="B291" s="13" t="s">
        <v>63</v>
      </c>
      <c r="C291" s="13" t="s">
        <v>25</v>
      </c>
      <c r="D291" s="20">
        <v>150</v>
      </c>
      <c r="E291" s="19" t="s">
        <v>64</v>
      </c>
      <c r="F291" s="15">
        <v>2.2</v>
      </c>
      <c r="G291" s="15">
        <f t="shared" si="54"/>
        <v>330</v>
      </c>
      <c r="H291" s="16">
        <v>1.7</v>
      </c>
      <c r="I291" s="15">
        <f t="shared" si="55"/>
        <v>255</v>
      </c>
      <c r="J291" s="15">
        <f t="shared" si="63"/>
        <v>0.68</v>
      </c>
      <c r="K291" s="15">
        <f t="shared" si="57"/>
        <v>102</v>
      </c>
      <c r="L291" s="15">
        <f t="shared" si="64"/>
        <v>687</v>
      </c>
    </row>
    <row r="292" customHeight="1" spans="1:12">
      <c r="A292" s="13" t="s">
        <v>34</v>
      </c>
      <c r="B292" s="13" t="s">
        <v>35</v>
      </c>
      <c r="C292" s="13" t="s">
        <v>21</v>
      </c>
      <c r="D292" s="13">
        <v>4</v>
      </c>
      <c r="E292" s="14" t="s">
        <v>36</v>
      </c>
      <c r="F292" s="15">
        <v>357</v>
      </c>
      <c r="G292" s="15">
        <f t="shared" si="54"/>
        <v>1428</v>
      </c>
      <c r="H292" s="15">
        <v>39</v>
      </c>
      <c r="I292" s="15">
        <f t="shared" si="55"/>
        <v>156</v>
      </c>
      <c r="J292" s="15">
        <f t="shared" si="63"/>
        <v>15.6</v>
      </c>
      <c r="K292" s="15">
        <f t="shared" si="57"/>
        <v>62.4</v>
      </c>
      <c r="L292" s="15">
        <f t="shared" si="64"/>
        <v>1646.4</v>
      </c>
    </row>
    <row r="293" customHeight="1" spans="1:12">
      <c r="A293" s="25" t="s">
        <v>124</v>
      </c>
      <c r="B293" s="25" t="s">
        <v>125</v>
      </c>
      <c r="C293" s="25" t="s">
        <v>21</v>
      </c>
      <c r="D293" s="25">
        <v>2</v>
      </c>
      <c r="E293" s="19" t="s">
        <v>126</v>
      </c>
      <c r="F293" s="15">
        <v>227</v>
      </c>
      <c r="G293" s="15">
        <f t="shared" si="54"/>
        <v>454</v>
      </c>
      <c r="H293" s="15">
        <v>146</v>
      </c>
      <c r="I293" s="15">
        <f t="shared" si="55"/>
        <v>292</v>
      </c>
      <c r="J293" s="15">
        <f t="shared" si="63"/>
        <v>58.4</v>
      </c>
      <c r="K293" s="15">
        <f t="shared" si="57"/>
        <v>116.8</v>
      </c>
      <c r="L293" s="15">
        <f t="shared" si="64"/>
        <v>862.8</v>
      </c>
    </row>
    <row r="294" customHeight="1" spans="1:12">
      <c r="A294" s="25" t="s">
        <v>116</v>
      </c>
      <c r="B294" s="25" t="s">
        <v>246</v>
      </c>
      <c r="C294" s="25" t="s">
        <v>39</v>
      </c>
      <c r="D294" s="25">
        <v>4</v>
      </c>
      <c r="E294" s="19" t="s">
        <v>247</v>
      </c>
      <c r="F294" s="15">
        <v>15</v>
      </c>
      <c r="G294" s="15">
        <f t="shared" si="54"/>
        <v>60</v>
      </c>
      <c r="H294" s="15">
        <v>56</v>
      </c>
      <c r="I294" s="15">
        <f t="shared" si="55"/>
        <v>224</v>
      </c>
      <c r="J294" s="15">
        <f t="shared" si="63"/>
        <v>22.4</v>
      </c>
      <c r="K294" s="15">
        <f t="shared" si="57"/>
        <v>89.6</v>
      </c>
      <c r="L294" s="15">
        <f t="shared" si="64"/>
        <v>373.6</v>
      </c>
    </row>
    <row r="295" customHeight="1" spans="1:12">
      <c r="A295" s="25" t="s">
        <v>139</v>
      </c>
      <c r="B295" s="25" t="s">
        <v>165</v>
      </c>
      <c r="C295" s="25" t="s">
        <v>52</v>
      </c>
      <c r="D295" s="25">
        <v>2</v>
      </c>
      <c r="E295" s="19" t="s">
        <v>141</v>
      </c>
      <c r="F295" s="15">
        <v>1631</v>
      </c>
      <c r="G295" s="15">
        <f t="shared" si="54"/>
        <v>3262</v>
      </c>
      <c r="H295" s="15">
        <v>11</v>
      </c>
      <c r="I295" s="15">
        <f t="shared" si="55"/>
        <v>22</v>
      </c>
      <c r="J295" s="15">
        <f t="shared" si="63"/>
        <v>4.4</v>
      </c>
      <c r="K295" s="15">
        <f t="shared" si="57"/>
        <v>8.8</v>
      </c>
      <c r="L295" s="15">
        <f t="shared" si="64"/>
        <v>3292.8</v>
      </c>
    </row>
    <row r="296" customHeight="1" spans="1:12">
      <c r="A296" s="13" t="s">
        <v>30</v>
      </c>
      <c r="B296" s="13" t="s">
        <v>31</v>
      </c>
      <c r="C296" s="13" t="s">
        <v>32</v>
      </c>
      <c r="D296" s="13">
        <v>5</v>
      </c>
      <c r="E296" s="14" t="s">
        <v>33</v>
      </c>
      <c r="F296" s="15">
        <f>27</f>
        <v>27</v>
      </c>
      <c r="G296" s="15">
        <f t="shared" si="54"/>
        <v>135</v>
      </c>
      <c r="H296" s="15">
        <v>56</v>
      </c>
      <c r="I296" s="15">
        <f t="shared" si="55"/>
        <v>280</v>
      </c>
      <c r="J296" s="15">
        <f t="shared" si="63"/>
        <v>22.4</v>
      </c>
      <c r="K296" s="15">
        <f t="shared" si="57"/>
        <v>112</v>
      </c>
      <c r="L296" s="15">
        <f t="shared" si="64"/>
        <v>527</v>
      </c>
    </row>
    <row r="297" customHeight="1" spans="1:12">
      <c r="A297" s="17" t="s">
        <v>47</v>
      </c>
      <c r="B297" s="17"/>
      <c r="C297" s="17"/>
      <c r="D297" s="17"/>
      <c r="E297" s="19"/>
      <c r="F297" s="15"/>
      <c r="G297" s="15">
        <f>SUM(G290:G296)</f>
        <v>6098</v>
      </c>
      <c r="H297" s="15"/>
      <c r="I297" s="15">
        <v>1375</v>
      </c>
      <c r="J297" s="15"/>
      <c r="K297" s="15">
        <f>SUM(K290:K296)</f>
        <v>580</v>
      </c>
      <c r="L297" s="15">
        <f>SUM(L290:L296)</f>
        <v>8128</v>
      </c>
    </row>
    <row r="298" customHeight="1" spans="1:12">
      <c r="A298" s="9" t="s">
        <v>274</v>
      </c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27"/>
    </row>
    <row r="299" customHeight="1" spans="1:12">
      <c r="A299" s="11" t="s">
        <v>7</v>
      </c>
      <c r="B299" s="11" t="s">
        <v>8</v>
      </c>
      <c r="C299" s="11" t="s">
        <v>9</v>
      </c>
      <c r="D299" s="11" t="s">
        <v>10</v>
      </c>
      <c r="E299" s="11" t="s">
        <v>11</v>
      </c>
      <c r="F299" s="12" t="s">
        <v>12</v>
      </c>
      <c r="G299" s="12" t="s">
        <v>13</v>
      </c>
      <c r="H299" s="12" t="s">
        <v>14</v>
      </c>
      <c r="I299" s="12" t="s">
        <v>15</v>
      </c>
      <c r="J299" s="12" t="s">
        <v>16</v>
      </c>
      <c r="K299" s="12" t="s">
        <v>17</v>
      </c>
      <c r="L299" s="12" t="s">
        <v>18</v>
      </c>
    </row>
    <row r="300" customHeight="1" spans="1:12">
      <c r="A300" s="13" t="s">
        <v>27</v>
      </c>
      <c r="B300" s="13" t="s">
        <v>28</v>
      </c>
      <c r="C300" s="13" t="s">
        <v>25</v>
      </c>
      <c r="D300" s="13">
        <v>70</v>
      </c>
      <c r="E300" s="19" t="s">
        <v>29</v>
      </c>
      <c r="F300" s="15">
        <v>3.3</v>
      </c>
      <c r="G300" s="15">
        <f t="shared" si="54"/>
        <v>231</v>
      </c>
      <c r="H300" s="16">
        <v>1.7</v>
      </c>
      <c r="I300" s="15">
        <f t="shared" si="55"/>
        <v>119</v>
      </c>
      <c r="J300" s="15">
        <f t="shared" ref="J300:J306" si="65">H300*0.4</f>
        <v>0.68</v>
      </c>
      <c r="K300" s="15">
        <f t="shared" si="57"/>
        <v>47.6</v>
      </c>
      <c r="L300" s="15">
        <f t="shared" ref="L300:L306" si="66">F300*D300+H300*D300+J300*D300</f>
        <v>397.6</v>
      </c>
    </row>
    <row r="301" customHeight="1" spans="1:12">
      <c r="A301" s="13" t="s">
        <v>54</v>
      </c>
      <c r="B301" s="13" t="s">
        <v>63</v>
      </c>
      <c r="C301" s="13" t="s">
        <v>25</v>
      </c>
      <c r="D301" s="20">
        <v>220</v>
      </c>
      <c r="E301" s="19" t="s">
        <v>64</v>
      </c>
      <c r="F301" s="15">
        <v>2.2</v>
      </c>
      <c r="G301" s="15">
        <f t="shared" si="54"/>
        <v>484</v>
      </c>
      <c r="H301" s="16">
        <v>1.7</v>
      </c>
      <c r="I301" s="15">
        <f t="shared" si="55"/>
        <v>374</v>
      </c>
      <c r="J301" s="15">
        <f t="shared" si="65"/>
        <v>0.68</v>
      </c>
      <c r="K301" s="15">
        <f t="shared" si="57"/>
        <v>149.6</v>
      </c>
      <c r="L301" s="15">
        <f t="shared" si="66"/>
        <v>1007.6</v>
      </c>
    </row>
    <row r="302" customHeight="1" spans="1:12">
      <c r="A302" s="13" t="s">
        <v>34</v>
      </c>
      <c r="B302" s="13" t="s">
        <v>275</v>
      </c>
      <c r="C302" s="13" t="s">
        <v>21</v>
      </c>
      <c r="D302" s="13">
        <v>1</v>
      </c>
      <c r="E302" s="14" t="s">
        <v>36</v>
      </c>
      <c r="F302" s="15">
        <v>1078</v>
      </c>
      <c r="G302" s="15">
        <f t="shared" si="54"/>
        <v>1078</v>
      </c>
      <c r="H302" s="15">
        <v>39</v>
      </c>
      <c r="I302" s="15">
        <f t="shared" si="55"/>
        <v>39</v>
      </c>
      <c r="J302" s="15">
        <f t="shared" si="65"/>
        <v>15.6</v>
      </c>
      <c r="K302" s="15">
        <f t="shared" si="57"/>
        <v>15.6</v>
      </c>
      <c r="L302" s="15">
        <f t="shared" si="66"/>
        <v>1132.6</v>
      </c>
    </row>
    <row r="303" customHeight="1" spans="1:12">
      <c r="A303" s="25" t="s">
        <v>89</v>
      </c>
      <c r="B303" s="25" t="s">
        <v>173</v>
      </c>
      <c r="C303" s="25" t="s">
        <v>39</v>
      </c>
      <c r="D303" s="25">
        <v>4</v>
      </c>
      <c r="E303" s="19" t="s">
        <v>84</v>
      </c>
      <c r="F303" s="15">
        <v>15</v>
      </c>
      <c r="G303" s="15">
        <f t="shared" si="54"/>
        <v>60</v>
      </c>
      <c r="H303" s="15">
        <v>11</v>
      </c>
      <c r="I303" s="15">
        <f t="shared" si="55"/>
        <v>44</v>
      </c>
      <c r="J303" s="15">
        <f t="shared" si="65"/>
        <v>4.4</v>
      </c>
      <c r="K303" s="15">
        <f t="shared" si="57"/>
        <v>17.6</v>
      </c>
      <c r="L303" s="15">
        <f t="shared" si="66"/>
        <v>121.6</v>
      </c>
    </row>
    <row r="304" customHeight="1" spans="1:12">
      <c r="A304" s="25" t="s">
        <v>92</v>
      </c>
      <c r="B304" s="25" t="s">
        <v>93</v>
      </c>
      <c r="C304" s="25" t="s">
        <v>94</v>
      </c>
      <c r="D304" s="25">
        <v>2</v>
      </c>
      <c r="E304" s="19" t="s">
        <v>102</v>
      </c>
      <c r="F304" s="15">
        <v>141</v>
      </c>
      <c r="G304" s="15">
        <f t="shared" si="54"/>
        <v>282</v>
      </c>
      <c r="H304" s="15">
        <v>17</v>
      </c>
      <c r="I304" s="15">
        <f t="shared" si="55"/>
        <v>34</v>
      </c>
      <c r="J304" s="15">
        <f t="shared" si="65"/>
        <v>6.8</v>
      </c>
      <c r="K304" s="15">
        <f t="shared" si="57"/>
        <v>13.6</v>
      </c>
      <c r="L304" s="15">
        <f t="shared" si="66"/>
        <v>329.6</v>
      </c>
    </row>
    <row r="305" customHeight="1" spans="1:12">
      <c r="A305" s="13" t="s">
        <v>73</v>
      </c>
      <c r="B305" s="13" t="s">
        <v>74</v>
      </c>
      <c r="C305" s="13" t="s">
        <v>75</v>
      </c>
      <c r="D305" s="13">
        <v>1</v>
      </c>
      <c r="E305" s="19" t="s">
        <v>60</v>
      </c>
      <c r="F305" s="15">
        <v>0</v>
      </c>
      <c r="G305" s="15">
        <f t="shared" si="54"/>
        <v>0</v>
      </c>
      <c r="H305" s="15">
        <v>674</v>
      </c>
      <c r="I305" s="15">
        <f t="shared" si="55"/>
        <v>674</v>
      </c>
      <c r="J305" s="15">
        <v>0</v>
      </c>
      <c r="K305" s="15">
        <f t="shared" si="57"/>
        <v>0</v>
      </c>
      <c r="L305" s="15">
        <f t="shared" si="66"/>
        <v>674</v>
      </c>
    </row>
    <row r="306" customHeight="1" spans="1:12">
      <c r="A306" s="25" t="s">
        <v>113</v>
      </c>
      <c r="B306" s="25" t="s">
        <v>170</v>
      </c>
      <c r="C306" s="25" t="s">
        <v>39</v>
      </c>
      <c r="D306" s="25">
        <v>3</v>
      </c>
      <c r="E306" s="19" t="s">
        <v>208</v>
      </c>
      <c r="F306" s="15">
        <v>75</v>
      </c>
      <c r="G306" s="15">
        <f t="shared" si="54"/>
        <v>225</v>
      </c>
      <c r="H306" s="15">
        <v>39</v>
      </c>
      <c r="I306" s="15">
        <f t="shared" si="55"/>
        <v>117</v>
      </c>
      <c r="J306" s="15">
        <f t="shared" si="65"/>
        <v>15.6</v>
      </c>
      <c r="K306" s="15">
        <f t="shared" si="57"/>
        <v>46.8</v>
      </c>
      <c r="L306" s="15">
        <f t="shared" si="66"/>
        <v>388.8</v>
      </c>
    </row>
    <row r="307" customHeight="1" spans="1:12">
      <c r="A307" s="17" t="s">
        <v>47</v>
      </c>
      <c r="B307" s="17"/>
      <c r="C307" s="17"/>
      <c r="D307" s="17"/>
      <c r="E307" s="19"/>
      <c r="F307" s="15"/>
      <c r="G307" s="15">
        <f>SUM(G300:G306)</f>
        <v>2360</v>
      </c>
      <c r="H307" s="15"/>
      <c r="I307" s="15">
        <v>1020</v>
      </c>
      <c r="J307" s="15"/>
      <c r="K307" s="15">
        <f>SUM(K300:K306)</f>
        <v>290.8</v>
      </c>
      <c r="L307" s="15">
        <f>SUM(L300:L306)</f>
        <v>4051.8</v>
      </c>
    </row>
    <row r="308" customHeight="1" spans="1:12">
      <c r="A308" s="9" t="s">
        <v>276</v>
      </c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27"/>
    </row>
    <row r="309" customHeight="1" spans="1:12">
      <c r="A309" s="11" t="s">
        <v>7</v>
      </c>
      <c r="B309" s="11" t="s">
        <v>8</v>
      </c>
      <c r="C309" s="11" t="s">
        <v>9</v>
      </c>
      <c r="D309" s="11" t="s">
        <v>10</v>
      </c>
      <c r="E309" s="11" t="s">
        <v>11</v>
      </c>
      <c r="F309" s="12" t="s">
        <v>12</v>
      </c>
      <c r="G309" s="12" t="s">
        <v>13</v>
      </c>
      <c r="H309" s="12" t="s">
        <v>14</v>
      </c>
      <c r="I309" s="12" t="s">
        <v>15</v>
      </c>
      <c r="J309" s="12" t="s">
        <v>16</v>
      </c>
      <c r="K309" s="12" t="s">
        <v>17</v>
      </c>
      <c r="L309" s="12" t="s">
        <v>18</v>
      </c>
    </row>
    <row r="310" customHeight="1" spans="1:12">
      <c r="A310" s="13" t="s">
        <v>30</v>
      </c>
      <c r="B310" s="13" t="s">
        <v>31</v>
      </c>
      <c r="C310" s="13" t="s">
        <v>32</v>
      </c>
      <c r="D310" s="13">
        <v>5</v>
      </c>
      <c r="E310" s="14" t="s">
        <v>33</v>
      </c>
      <c r="F310" s="15">
        <v>27</v>
      </c>
      <c r="G310" s="15">
        <f t="shared" si="54"/>
        <v>135</v>
      </c>
      <c r="H310" s="15">
        <v>56</v>
      </c>
      <c r="I310" s="15">
        <f t="shared" si="55"/>
        <v>280</v>
      </c>
      <c r="J310" s="15">
        <f t="shared" ref="J310:J316" si="67">H310*0.4</f>
        <v>22.4</v>
      </c>
      <c r="K310" s="15">
        <f t="shared" si="57"/>
        <v>112</v>
      </c>
      <c r="L310" s="15">
        <f t="shared" ref="L310:L316" si="68">F310*D310+H310*D310+J310*D310</f>
        <v>527</v>
      </c>
    </row>
    <row r="311" customHeight="1" spans="1:12">
      <c r="A311" s="25" t="s">
        <v>116</v>
      </c>
      <c r="B311" s="25" t="s">
        <v>181</v>
      </c>
      <c r="C311" s="25" t="s">
        <v>39</v>
      </c>
      <c r="D311" s="25">
        <v>3</v>
      </c>
      <c r="E311" s="19" t="s">
        <v>182</v>
      </c>
      <c r="F311" s="15">
        <v>15</v>
      </c>
      <c r="G311" s="15">
        <f t="shared" si="54"/>
        <v>45</v>
      </c>
      <c r="H311" s="15">
        <v>146</v>
      </c>
      <c r="I311" s="15">
        <f t="shared" si="55"/>
        <v>438</v>
      </c>
      <c r="J311" s="15">
        <f t="shared" si="67"/>
        <v>58.4</v>
      </c>
      <c r="K311" s="15">
        <f t="shared" si="57"/>
        <v>175.2</v>
      </c>
      <c r="L311" s="15">
        <f t="shared" si="68"/>
        <v>658.2</v>
      </c>
    </row>
    <row r="312" customHeight="1" spans="1:12">
      <c r="A312" s="13" t="s">
        <v>27</v>
      </c>
      <c r="B312" s="13" t="s">
        <v>28</v>
      </c>
      <c r="C312" s="13" t="s">
        <v>25</v>
      </c>
      <c r="D312" s="13">
        <v>50</v>
      </c>
      <c r="E312" s="19" t="s">
        <v>29</v>
      </c>
      <c r="F312" s="15">
        <v>3.3</v>
      </c>
      <c r="G312" s="15">
        <f t="shared" si="54"/>
        <v>165</v>
      </c>
      <c r="H312" s="16">
        <v>1.7</v>
      </c>
      <c r="I312" s="15">
        <f t="shared" si="55"/>
        <v>85</v>
      </c>
      <c r="J312" s="15">
        <f t="shared" si="67"/>
        <v>0.68</v>
      </c>
      <c r="K312" s="15">
        <f t="shared" si="57"/>
        <v>34</v>
      </c>
      <c r="L312" s="15">
        <f t="shared" si="68"/>
        <v>284</v>
      </c>
    </row>
    <row r="313" customHeight="1" spans="1:12">
      <c r="A313" s="13" t="s">
        <v>54</v>
      </c>
      <c r="B313" s="13" t="s">
        <v>63</v>
      </c>
      <c r="C313" s="13" t="s">
        <v>25</v>
      </c>
      <c r="D313" s="20">
        <v>80</v>
      </c>
      <c r="E313" s="19" t="s">
        <v>64</v>
      </c>
      <c r="F313" s="15">
        <v>2.2</v>
      </c>
      <c r="G313" s="15">
        <f t="shared" si="54"/>
        <v>176</v>
      </c>
      <c r="H313" s="16">
        <v>1.7</v>
      </c>
      <c r="I313" s="15">
        <f t="shared" si="55"/>
        <v>136</v>
      </c>
      <c r="J313" s="15">
        <f t="shared" si="67"/>
        <v>0.68</v>
      </c>
      <c r="K313" s="15">
        <f t="shared" si="57"/>
        <v>54.4</v>
      </c>
      <c r="L313" s="15">
        <f t="shared" si="68"/>
        <v>366.4</v>
      </c>
    </row>
    <row r="314" customHeight="1" spans="1:12">
      <c r="A314" s="13" t="s">
        <v>44</v>
      </c>
      <c r="B314" s="13" t="s">
        <v>277</v>
      </c>
      <c r="C314" s="13" t="s">
        <v>21</v>
      </c>
      <c r="D314" s="13">
        <v>3</v>
      </c>
      <c r="E314" s="14" t="s">
        <v>46</v>
      </c>
      <c r="F314" s="15">
        <v>45</v>
      </c>
      <c r="G314" s="15">
        <f t="shared" si="54"/>
        <v>135</v>
      </c>
      <c r="H314" s="15">
        <v>11</v>
      </c>
      <c r="I314" s="15">
        <f t="shared" si="55"/>
        <v>33</v>
      </c>
      <c r="J314" s="15">
        <f t="shared" si="67"/>
        <v>4.4</v>
      </c>
      <c r="K314" s="15">
        <f t="shared" si="57"/>
        <v>13.2</v>
      </c>
      <c r="L314" s="15">
        <f t="shared" si="68"/>
        <v>181.2</v>
      </c>
    </row>
    <row r="315" customHeight="1" spans="1:12">
      <c r="A315" s="25" t="s">
        <v>92</v>
      </c>
      <c r="B315" s="25" t="s">
        <v>93</v>
      </c>
      <c r="C315" s="25" t="s">
        <v>94</v>
      </c>
      <c r="D315" s="25">
        <v>3</v>
      </c>
      <c r="E315" s="19" t="s">
        <v>95</v>
      </c>
      <c r="F315" s="15">
        <v>136</v>
      </c>
      <c r="G315" s="15">
        <f t="shared" si="54"/>
        <v>408</v>
      </c>
      <c r="H315" s="15">
        <v>17</v>
      </c>
      <c r="I315" s="15">
        <f t="shared" si="55"/>
        <v>51</v>
      </c>
      <c r="J315" s="15">
        <f t="shared" si="67"/>
        <v>6.8</v>
      </c>
      <c r="K315" s="15">
        <f t="shared" si="57"/>
        <v>20.4</v>
      </c>
      <c r="L315" s="15">
        <f t="shared" si="68"/>
        <v>479.4</v>
      </c>
    </row>
    <row r="316" customHeight="1" spans="1:12">
      <c r="A316" s="13" t="s">
        <v>73</v>
      </c>
      <c r="B316" s="13" t="s">
        <v>74</v>
      </c>
      <c r="C316" s="13" t="s">
        <v>75</v>
      </c>
      <c r="D316" s="13">
        <v>1</v>
      </c>
      <c r="E316" s="19"/>
      <c r="F316" s="15">
        <v>0</v>
      </c>
      <c r="G316" s="15">
        <f t="shared" si="54"/>
        <v>0</v>
      </c>
      <c r="H316" s="15">
        <v>674</v>
      </c>
      <c r="I316" s="15">
        <f t="shared" si="55"/>
        <v>674</v>
      </c>
      <c r="J316" s="15">
        <v>0</v>
      </c>
      <c r="K316" s="15">
        <f t="shared" si="57"/>
        <v>0</v>
      </c>
      <c r="L316" s="15">
        <f t="shared" si="68"/>
        <v>674</v>
      </c>
    </row>
    <row r="317" customHeight="1" spans="1:12">
      <c r="A317" s="17" t="s">
        <v>47</v>
      </c>
      <c r="B317" s="17"/>
      <c r="C317" s="17"/>
      <c r="D317" s="17"/>
      <c r="E317" s="19"/>
      <c r="F317" s="15"/>
      <c r="G317" s="15">
        <f>SUM(G310:G316)</f>
        <v>1064</v>
      </c>
      <c r="H317" s="15"/>
      <c r="I317" s="15">
        <v>1444</v>
      </c>
      <c r="J317" s="15"/>
      <c r="K317" s="15">
        <f>SUM(K310:K316)</f>
        <v>409.2</v>
      </c>
      <c r="L317" s="15">
        <f>SUM(L310:L316)</f>
        <v>3170.2</v>
      </c>
    </row>
    <row r="318" customHeight="1" spans="1:12">
      <c r="A318" s="9" t="s">
        <v>278</v>
      </c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27"/>
    </row>
    <row r="319" customHeight="1" spans="1:12">
      <c r="A319" s="11" t="s">
        <v>7</v>
      </c>
      <c r="B319" s="11" t="s">
        <v>8</v>
      </c>
      <c r="C319" s="11" t="s">
        <v>9</v>
      </c>
      <c r="D319" s="11" t="s">
        <v>10</v>
      </c>
      <c r="E319" s="11" t="s">
        <v>11</v>
      </c>
      <c r="F319" s="12" t="s">
        <v>12</v>
      </c>
      <c r="G319" s="12" t="s">
        <v>13</v>
      </c>
      <c r="H319" s="12" t="s">
        <v>14</v>
      </c>
      <c r="I319" s="12" t="s">
        <v>15</v>
      </c>
      <c r="J319" s="12" t="s">
        <v>16</v>
      </c>
      <c r="K319" s="12" t="s">
        <v>17</v>
      </c>
      <c r="L319" s="12" t="s">
        <v>18</v>
      </c>
    </row>
    <row r="320" customHeight="1" spans="1:12">
      <c r="A320" s="25" t="s">
        <v>239</v>
      </c>
      <c r="B320" s="25" t="s">
        <v>269</v>
      </c>
      <c r="C320" s="25" t="s">
        <v>21</v>
      </c>
      <c r="D320" s="25">
        <v>4</v>
      </c>
      <c r="E320" s="19" t="s">
        <v>279</v>
      </c>
      <c r="F320" s="15">
        <v>227</v>
      </c>
      <c r="G320" s="15">
        <f t="shared" si="54"/>
        <v>908</v>
      </c>
      <c r="H320" s="15">
        <v>146</v>
      </c>
      <c r="I320" s="15">
        <f t="shared" si="55"/>
        <v>584</v>
      </c>
      <c r="J320" s="15">
        <f t="shared" ref="J320:J325" si="69">H320*0.4</f>
        <v>58.4</v>
      </c>
      <c r="K320" s="15">
        <f t="shared" si="57"/>
        <v>233.6</v>
      </c>
      <c r="L320" s="15">
        <f t="shared" ref="L320:L325" si="70">F320*D320+H320*D320+J320*D320</f>
        <v>1725.6</v>
      </c>
    </row>
    <row r="321" customHeight="1" spans="1:12">
      <c r="A321" s="25" t="s">
        <v>103</v>
      </c>
      <c r="B321" s="25" t="s">
        <v>204</v>
      </c>
      <c r="C321" s="25" t="s">
        <v>32</v>
      </c>
      <c r="D321" s="25">
        <v>4</v>
      </c>
      <c r="E321" s="19" t="s">
        <v>280</v>
      </c>
      <c r="F321" s="15">
        <v>128</v>
      </c>
      <c r="G321" s="15">
        <f t="shared" si="54"/>
        <v>512</v>
      </c>
      <c r="H321" s="15">
        <v>112</v>
      </c>
      <c r="I321" s="15">
        <f t="shared" si="55"/>
        <v>448</v>
      </c>
      <c r="J321" s="15">
        <f t="shared" si="69"/>
        <v>44.8</v>
      </c>
      <c r="K321" s="15">
        <f t="shared" si="57"/>
        <v>179.2</v>
      </c>
      <c r="L321" s="15">
        <f t="shared" si="70"/>
        <v>1139.2</v>
      </c>
    </row>
    <row r="322" customHeight="1" spans="1:12">
      <c r="A322" s="13" t="s">
        <v>54</v>
      </c>
      <c r="B322" s="13" t="s">
        <v>24</v>
      </c>
      <c r="C322" s="13" t="s">
        <v>25</v>
      </c>
      <c r="D322" s="13">
        <v>150</v>
      </c>
      <c r="E322" s="19" t="s">
        <v>26</v>
      </c>
      <c r="F322" s="15">
        <v>2.2</v>
      </c>
      <c r="G322" s="15">
        <f t="shared" si="54"/>
        <v>330</v>
      </c>
      <c r="H322" s="16">
        <v>1.7</v>
      </c>
      <c r="I322" s="15">
        <f t="shared" si="55"/>
        <v>255</v>
      </c>
      <c r="J322" s="15">
        <f t="shared" si="69"/>
        <v>0.68</v>
      </c>
      <c r="K322" s="15">
        <f t="shared" si="57"/>
        <v>102</v>
      </c>
      <c r="L322" s="15">
        <f t="shared" si="70"/>
        <v>687</v>
      </c>
    </row>
    <row r="323" customHeight="1" spans="1:12">
      <c r="A323" s="13" t="s">
        <v>27</v>
      </c>
      <c r="B323" s="13" t="s">
        <v>28</v>
      </c>
      <c r="C323" s="13" t="s">
        <v>25</v>
      </c>
      <c r="D323" s="13">
        <v>150</v>
      </c>
      <c r="E323" s="19" t="s">
        <v>29</v>
      </c>
      <c r="F323" s="15">
        <v>3.3</v>
      </c>
      <c r="G323" s="15">
        <f t="shared" si="54"/>
        <v>495</v>
      </c>
      <c r="H323" s="16">
        <v>1.7</v>
      </c>
      <c r="I323" s="15">
        <f t="shared" si="55"/>
        <v>255</v>
      </c>
      <c r="J323" s="15">
        <f t="shared" si="69"/>
        <v>0.68</v>
      </c>
      <c r="K323" s="15">
        <f t="shared" si="57"/>
        <v>102</v>
      </c>
      <c r="L323" s="15">
        <f t="shared" si="70"/>
        <v>852</v>
      </c>
    </row>
    <row r="324" customHeight="1" spans="1:12">
      <c r="A324" s="13" t="s">
        <v>37</v>
      </c>
      <c r="B324" s="13" t="s">
        <v>38</v>
      </c>
      <c r="C324" s="13" t="s">
        <v>39</v>
      </c>
      <c r="D324" s="13">
        <v>4</v>
      </c>
      <c r="E324" s="14" t="s">
        <v>40</v>
      </c>
      <c r="F324" s="15">
        <v>20</v>
      </c>
      <c r="G324" s="15">
        <f t="shared" si="54"/>
        <v>80</v>
      </c>
      <c r="H324" s="15">
        <v>11</v>
      </c>
      <c r="I324" s="15">
        <f t="shared" si="55"/>
        <v>44</v>
      </c>
      <c r="J324" s="15">
        <f t="shared" si="69"/>
        <v>4.4</v>
      </c>
      <c r="K324" s="15">
        <f t="shared" si="57"/>
        <v>17.6</v>
      </c>
      <c r="L324" s="15">
        <f t="shared" si="70"/>
        <v>141.6</v>
      </c>
    </row>
    <row r="325" customHeight="1" spans="1:12">
      <c r="A325" s="25" t="s">
        <v>243</v>
      </c>
      <c r="B325" s="25" t="s">
        <v>244</v>
      </c>
      <c r="C325" s="25" t="s">
        <v>94</v>
      </c>
      <c r="D325" s="25">
        <v>3</v>
      </c>
      <c r="E325" s="19" t="s">
        <v>245</v>
      </c>
      <c r="F325" s="15">
        <v>606</v>
      </c>
      <c r="G325" s="15">
        <f t="shared" ref="G325:G336" si="71">F325*D325</f>
        <v>1818</v>
      </c>
      <c r="H325" s="15">
        <v>169</v>
      </c>
      <c r="I325" s="15">
        <f t="shared" ref="I325:I336" si="72">H325*D325</f>
        <v>507</v>
      </c>
      <c r="J325" s="15">
        <f t="shared" si="69"/>
        <v>67.6</v>
      </c>
      <c r="K325" s="15">
        <f t="shared" ref="K325:K337" si="73">J325*D325</f>
        <v>202.8</v>
      </c>
      <c r="L325" s="15">
        <f t="shared" si="70"/>
        <v>2527.8</v>
      </c>
    </row>
    <row r="326" customHeight="1" spans="1:12">
      <c r="A326" s="17" t="s">
        <v>47</v>
      </c>
      <c r="B326" s="17"/>
      <c r="C326" s="17"/>
      <c r="D326" s="17"/>
      <c r="E326" s="19"/>
      <c r="F326" s="15"/>
      <c r="G326" s="15">
        <f>SUM(G320:G325)</f>
        <v>4143</v>
      </c>
      <c r="H326" s="15"/>
      <c r="I326" s="15">
        <v>2074</v>
      </c>
      <c r="J326" s="15"/>
      <c r="K326" s="15">
        <f>SUM(K320:K325)</f>
        <v>837.2</v>
      </c>
      <c r="L326" s="15">
        <f>SUM(L320:L325)</f>
        <v>7073.2</v>
      </c>
    </row>
    <row r="327" customHeight="1" spans="1:12">
      <c r="A327" s="9" t="s">
        <v>281</v>
      </c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27"/>
    </row>
    <row r="328" customHeight="1" spans="1:12">
      <c r="A328" s="11" t="s">
        <v>7</v>
      </c>
      <c r="B328" s="11" t="s">
        <v>8</v>
      </c>
      <c r="C328" s="11" t="s">
        <v>9</v>
      </c>
      <c r="D328" s="11" t="s">
        <v>10</v>
      </c>
      <c r="E328" s="11" t="s">
        <v>11</v>
      </c>
      <c r="F328" s="12" t="s">
        <v>12</v>
      </c>
      <c r="G328" s="12" t="s">
        <v>13</v>
      </c>
      <c r="H328" s="12" t="s">
        <v>14</v>
      </c>
      <c r="I328" s="12" t="s">
        <v>15</v>
      </c>
      <c r="J328" s="12" t="s">
        <v>16</v>
      </c>
      <c r="K328" s="12" t="s">
        <v>17</v>
      </c>
      <c r="L328" s="12" t="s">
        <v>18</v>
      </c>
    </row>
    <row r="329" customHeight="1" spans="1:12">
      <c r="A329" s="13" t="s">
        <v>34</v>
      </c>
      <c r="B329" s="13" t="s">
        <v>275</v>
      </c>
      <c r="C329" s="13" t="s">
        <v>21</v>
      </c>
      <c r="D329" s="13">
        <v>1</v>
      </c>
      <c r="E329" s="14" t="s">
        <v>36</v>
      </c>
      <c r="F329" s="15">
        <v>1078</v>
      </c>
      <c r="G329" s="15">
        <f t="shared" si="71"/>
        <v>1078</v>
      </c>
      <c r="H329" s="15">
        <v>39</v>
      </c>
      <c r="I329" s="15">
        <f t="shared" si="72"/>
        <v>39</v>
      </c>
      <c r="J329" s="15">
        <f t="shared" ref="J326:J337" si="74">H329*0.4</f>
        <v>15.6</v>
      </c>
      <c r="K329" s="15">
        <f t="shared" si="73"/>
        <v>15.6</v>
      </c>
      <c r="L329" s="15">
        <f t="shared" ref="L326:L337" si="75">F329*D329+H329*D329+J329*D329</f>
        <v>1132.6</v>
      </c>
    </row>
    <row r="330" customHeight="1" spans="1:12">
      <c r="A330" s="13" t="s">
        <v>57</v>
      </c>
      <c r="B330" s="13" t="s">
        <v>58</v>
      </c>
      <c r="C330" s="13" t="s">
        <v>32</v>
      </c>
      <c r="D330" s="13">
        <v>1</v>
      </c>
      <c r="E330" s="19" t="s">
        <v>59</v>
      </c>
      <c r="F330" s="15">
        <v>75</v>
      </c>
      <c r="G330" s="15">
        <f t="shared" si="71"/>
        <v>75</v>
      </c>
      <c r="H330" s="15">
        <v>39</v>
      </c>
      <c r="I330" s="15">
        <f t="shared" si="72"/>
        <v>39</v>
      </c>
      <c r="J330" s="15">
        <f t="shared" si="74"/>
        <v>15.6</v>
      </c>
      <c r="K330" s="15">
        <f t="shared" si="73"/>
        <v>15.6</v>
      </c>
      <c r="L330" s="15">
        <f t="shared" si="75"/>
        <v>129.6</v>
      </c>
    </row>
    <row r="331" customHeight="1" spans="1:12">
      <c r="A331" s="13" t="s">
        <v>34</v>
      </c>
      <c r="B331" s="13" t="s">
        <v>35</v>
      </c>
      <c r="C331" s="13" t="s">
        <v>21</v>
      </c>
      <c r="D331" s="13">
        <v>6</v>
      </c>
      <c r="E331" s="19" t="s">
        <v>282</v>
      </c>
      <c r="F331" s="15">
        <v>357</v>
      </c>
      <c r="G331" s="15">
        <f t="shared" si="71"/>
        <v>2142</v>
      </c>
      <c r="H331" s="15">
        <v>39</v>
      </c>
      <c r="I331" s="15">
        <f t="shared" si="72"/>
        <v>234</v>
      </c>
      <c r="J331" s="15">
        <f t="shared" si="74"/>
        <v>15.6</v>
      </c>
      <c r="K331" s="15">
        <f t="shared" si="73"/>
        <v>93.6</v>
      </c>
      <c r="L331" s="15">
        <f t="shared" si="75"/>
        <v>2469.6</v>
      </c>
    </row>
    <row r="332" customHeight="1" spans="1:12">
      <c r="A332" s="13" t="s">
        <v>19</v>
      </c>
      <c r="B332" s="13" t="s">
        <v>20</v>
      </c>
      <c r="C332" s="13" t="s">
        <v>21</v>
      </c>
      <c r="D332" s="13">
        <v>3</v>
      </c>
      <c r="E332" s="14" t="s">
        <v>22</v>
      </c>
      <c r="F332" s="15">
        <v>227</v>
      </c>
      <c r="G332" s="15">
        <f t="shared" si="71"/>
        <v>681</v>
      </c>
      <c r="H332" s="15">
        <v>146</v>
      </c>
      <c r="I332" s="15">
        <f t="shared" si="72"/>
        <v>438</v>
      </c>
      <c r="J332" s="15">
        <f t="shared" si="74"/>
        <v>58.4</v>
      </c>
      <c r="K332" s="15">
        <f t="shared" si="73"/>
        <v>175.2</v>
      </c>
      <c r="L332" s="15">
        <f t="shared" si="75"/>
        <v>1294.2</v>
      </c>
    </row>
    <row r="333" customHeight="1" spans="1:12">
      <c r="A333" s="13" t="s">
        <v>73</v>
      </c>
      <c r="B333" s="13" t="s">
        <v>74</v>
      </c>
      <c r="C333" s="13" t="s">
        <v>75</v>
      </c>
      <c r="D333" s="13">
        <v>1</v>
      </c>
      <c r="E333" s="19" t="s">
        <v>60</v>
      </c>
      <c r="F333" s="15">
        <v>0</v>
      </c>
      <c r="G333" s="15">
        <f t="shared" si="71"/>
        <v>0</v>
      </c>
      <c r="H333" s="15">
        <v>674</v>
      </c>
      <c r="I333" s="15">
        <f t="shared" si="72"/>
        <v>674</v>
      </c>
      <c r="J333" s="15">
        <v>0</v>
      </c>
      <c r="K333" s="15">
        <f t="shared" si="73"/>
        <v>0</v>
      </c>
      <c r="L333" s="15">
        <f t="shared" si="75"/>
        <v>674</v>
      </c>
    </row>
    <row r="334" customHeight="1" spans="1:12">
      <c r="A334" s="25" t="s">
        <v>92</v>
      </c>
      <c r="B334" s="25" t="s">
        <v>93</v>
      </c>
      <c r="C334" s="25" t="s">
        <v>94</v>
      </c>
      <c r="D334" s="25">
        <v>6</v>
      </c>
      <c r="E334" s="19" t="s">
        <v>95</v>
      </c>
      <c r="F334" s="15">
        <v>141</v>
      </c>
      <c r="G334" s="15">
        <f t="shared" si="71"/>
        <v>846</v>
      </c>
      <c r="H334" s="15">
        <v>17</v>
      </c>
      <c r="I334" s="15">
        <f t="shared" si="72"/>
        <v>102</v>
      </c>
      <c r="J334" s="15">
        <f t="shared" si="74"/>
        <v>6.8</v>
      </c>
      <c r="K334" s="15">
        <f t="shared" si="73"/>
        <v>40.8</v>
      </c>
      <c r="L334" s="15">
        <f t="shared" si="75"/>
        <v>988.8</v>
      </c>
    </row>
    <row r="335" customHeight="1" spans="1:12">
      <c r="A335" s="13" t="s">
        <v>54</v>
      </c>
      <c r="B335" s="13" t="s">
        <v>24</v>
      </c>
      <c r="C335" s="13" t="s">
        <v>25</v>
      </c>
      <c r="D335" s="13">
        <v>150</v>
      </c>
      <c r="E335" s="19" t="s">
        <v>26</v>
      </c>
      <c r="F335" s="15">
        <v>2.2</v>
      </c>
      <c r="G335" s="15">
        <f t="shared" si="71"/>
        <v>330</v>
      </c>
      <c r="H335" s="16">
        <v>1.7</v>
      </c>
      <c r="I335" s="15">
        <f t="shared" si="72"/>
        <v>255</v>
      </c>
      <c r="J335" s="15">
        <f t="shared" si="74"/>
        <v>0.68</v>
      </c>
      <c r="K335" s="15">
        <f t="shared" si="73"/>
        <v>102</v>
      </c>
      <c r="L335" s="15">
        <f t="shared" si="75"/>
        <v>687</v>
      </c>
    </row>
    <row r="336" customHeight="1" spans="1:12">
      <c r="A336" s="13" t="s">
        <v>27</v>
      </c>
      <c r="B336" s="13" t="s">
        <v>28</v>
      </c>
      <c r="C336" s="13" t="s">
        <v>25</v>
      </c>
      <c r="D336" s="13">
        <v>150</v>
      </c>
      <c r="E336" s="19" t="s">
        <v>29</v>
      </c>
      <c r="F336" s="15">
        <v>3.3</v>
      </c>
      <c r="G336" s="15">
        <f t="shared" si="71"/>
        <v>495</v>
      </c>
      <c r="H336" s="16">
        <v>1.7</v>
      </c>
      <c r="I336" s="15">
        <f t="shared" si="72"/>
        <v>255</v>
      </c>
      <c r="J336" s="15">
        <f t="shared" si="74"/>
        <v>0.68</v>
      </c>
      <c r="K336" s="15">
        <f t="shared" si="73"/>
        <v>102</v>
      </c>
      <c r="L336" s="15">
        <f t="shared" si="75"/>
        <v>852</v>
      </c>
    </row>
    <row r="337" customHeight="1" spans="1:12">
      <c r="A337" s="17" t="s">
        <v>47</v>
      </c>
      <c r="B337" s="17"/>
      <c r="C337" s="17"/>
      <c r="D337" s="17"/>
      <c r="E337" s="19"/>
      <c r="F337" s="15"/>
      <c r="G337" s="15">
        <f>SUM(G329:G336)</f>
        <v>5647</v>
      </c>
      <c r="H337" s="15"/>
      <c r="I337" s="15">
        <v>1862</v>
      </c>
      <c r="J337" s="15"/>
      <c r="K337" s="15">
        <f>SUM(K329:K336)</f>
        <v>544.8</v>
      </c>
      <c r="L337" s="15">
        <f>SUM(L329:L336)</f>
        <v>8227.8</v>
      </c>
    </row>
  </sheetData>
  <autoFilter ref="A4:L337">
    <extLst/>
  </autoFilter>
  <mergeCells count="40">
    <mergeCell ref="A1:L1"/>
    <mergeCell ref="A2:B2"/>
    <mergeCell ref="D2:E2"/>
    <mergeCell ref="F2:I2"/>
    <mergeCell ref="J2:L2"/>
    <mergeCell ref="A3:L3"/>
    <mergeCell ref="A13:D13"/>
    <mergeCell ref="A22:D22"/>
    <mergeCell ref="A32:D32"/>
    <mergeCell ref="A41:D41"/>
    <mergeCell ref="A51:D51"/>
    <mergeCell ref="A59:D59"/>
    <mergeCell ref="A68:D68"/>
    <mergeCell ref="A77:D77"/>
    <mergeCell ref="A91:D91"/>
    <mergeCell ref="A99:D99"/>
    <mergeCell ref="A108:D108"/>
    <mergeCell ref="A116:D116"/>
    <mergeCell ref="A125:D125"/>
    <mergeCell ref="A133:D133"/>
    <mergeCell ref="A142:D142"/>
    <mergeCell ref="A154:D154"/>
    <mergeCell ref="A163:D163"/>
    <mergeCell ref="A173:D173"/>
    <mergeCell ref="A182:D182"/>
    <mergeCell ref="A192:D192"/>
    <mergeCell ref="A203:D203"/>
    <mergeCell ref="A212:D212"/>
    <mergeCell ref="A222:D222"/>
    <mergeCell ref="A230:D230"/>
    <mergeCell ref="A240:D240"/>
    <mergeCell ref="A258:D258"/>
    <mergeCell ref="A269:D269"/>
    <mergeCell ref="A278:D278"/>
    <mergeCell ref="A287:D287"/>
    <mergeCell ref="A297:D297"/>
    <mergeCell ref="A307:D307"/>
    <mergeCell ref="A317:D317"/>
    <mergeCell ref="A326:D326"/>
    <mergeCell ref="A337:D33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bc</cp:lastModifiedBy>
  <dcterms:created xsi:type="dcterms:W3CDTF">2023-05-14T03:15:00Z</dcterms:created>
  <dcterms:modified xsi:type="dcterms:W3CDTF">2026-03-12T09:06:23Z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7C52BF2E3A9D47FEB247F8AA0092F6CB</vt:lpwstr>
  </property>
  <property fmtid="{D5CDD505-2E9C-101B-9397-08002B2CF9AE}" pid="4" name="CalculationRule">
    <vt:i4>0</vt:i4>
  </property>
</Properties>
</file>